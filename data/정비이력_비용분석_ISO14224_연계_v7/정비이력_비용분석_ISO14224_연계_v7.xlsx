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11102\Downloads\"/>
    </mc:Choice>
  </mc:AlternateContent>
  <xr:revisionPtr revIDLastSave="0" documentId="13_ncr:1_{4BBABB9F-B358-45DF-87C9-73C507C5AE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rds" sheetId="1" r:id="rId1"/>
    <sheet name="라인별 시간당 손실단가" sheetId="2" r:id="rId2"/>
    <sheet name="부품 리드타임_가격표" sheetId="3" r:id="rId3"/>
    <sheet name="인력 단가표" sheetId="4" r:id="rId4"/>
    <sheet name="ISO14224_Codes" sheetId="5" r:id="rId5"/>
    <sheet name="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1" i="1" l="1"/>
  <c r="W41" i="1"/>
  <c r="V41" i="1"/>
  <c r="U41" i="1"/>
  <c r="X41" i="1" s="1"/>
  <c r="AA40" i="1"/>
  <c r="W40" i="1"/>
  <c r="V40" i="1"/>
  <c r="U40" i="1"/>
  <c r="X40" i="1" s="1"/>
  <c r="AA39" i="1"/>
  <c r="W39" i="1"/>
  <c r="V39" i="1"/>
  <c r="U39" i="1"/>
  <c r="AA38" i="1"/>
  <c r="W38" i="1"/>
  <c r="V38" i="1"/>
  <c r="U38" i="1"/>
  <c r="X38" i="1" s="1"/>
  <c r="AA37" i="1"/>
  <c r="W37" i="1"/>
  <c r="V37" i="1"/>
  <c r="U37" i="1"/>
  <c r="X37" i="1" s="1"/>
  <c r="AA36" i="1"/>
  <c r="W36" i="1"/>
  <c r="V36" i="1"/>
  <c r="U36" i="1"/>
  <c r="AA35" i="1"/>
  <c r="W35" i="1"/>
  <c r="V35" i="1"/>
  <c r="U35" i="1"/>
  <c r="AA34" i="1"/>
  <c r="W34" i="1"/>
  <c r="V34" i="1"/>
  <c r="U34" i="1"/>
  <c r="AA33" i="1"/>
  <c r="W33" i="1"/>
  <c r="V33" i="1"/>
  <c r="U33" i="1"/>
  <c r="AA32" i="1"/>
  <c r="W32" i="1"/>
  <c r="V32" i="1"/>
  <c r="X32" i="1" s="1"/>
  <c r="U32" i="1"/>
  <c r="AA31" i="1"/>
  <c r="W31" i="1"/>
  <c r="V31" i="1"/>
  <c r="U31" i="1"/>
  <c r="AA30" i="1"/>
  <c r="W30" i="1"/>
  <c r="V30" i="1"/>
  <c r="U30" i="1"/>
  <c r="AA29" i="1"/>
  <c r="W29" i="1"/>
  <c r="V29" i="1"/>
  <c r="U29" i="1"/>
  <c r="AA28" i="1"/>
  <c r="W28" i="1"/>
  <c r="X28" i="1" s="1"/>
  <c r="V28" i="1"/>
  <c r="U28" i="1"/>
  <c r="AA27" i="1"/>
  <c r="X27" i="1"/>
  <c r="W27" i="1"/>
  <c r="V27" i="1"/>
  <c r="U27" i="1"/>
  <c r="AA26" i="1"/>
  <c r="W26" i="1"/>
  <c r="V26" i="1"/>
  <c r="U26" i="1"/>
  <c r="AA25" i="1"/>
  <c r="W25" i="1"/>
  <c r="V25" i="1"/>
  <c r="U25" i="1"/>
  <c r="AA24" i="1"/>
  <c r="W24" i="1"/>
  <c r="X24" i="1" s="1"/>
  <c r="V24" i="1"/>
  <c r="U24" i="1"/>
  <c r="AA23" i="1"/>
  <c r="W23" i="1"/>
  <c r="V23" i="1"/>
  <c r="U23" i="1"/>
  <c r="X23" i="1" s="1"/>
  <c r="AA22" i="1"/>
  <c r="W22" i="1"/>
  <c r="V22" i="1"/>
  <c r="U22" i="1"/>
  <c r="X22" i="1" s="1"/>
  <c r="AA21" i="1"/>
  <c r="W21" i="1"/>
  <c r="V21" i="1"/>
  <c r="U21" i="1"/>
  <c r="X21" i="1" s="1"/>
  <c r="AA20" i="1"/>
  <c r="W20" i="1"/>
  <c r="V20" i="1"/>
  <c r="U20" i="1"/>
  <c r="AA19" i="1"/>
  <c r="W19" i="1"/>
  <c r="V19" i="1"/>
  <c r="U19" i="1"/>
  <c r="AA18" i="1"/>
  <c r="W18" i="1"/>
  <c r="V18" i="1"/>
  <c r="U18" i="1"/>
  <c r="AA17" i="1"/>
  <c r="W17" i="1"/>
  <c r="V17" i="1"/>
  <c r="U17" i="1"/>
  <c r="AA16" i="1"/>
  <c r="W16" i="1"/>
  <c r="V16" i="1"/>
  <c r="U16" i="1"/>
  <c r="AA15" i="1"/>
  <c r="W15" i="1"/>
  <c r="V15" i="1"/>
  <c r="U15" i="1"/>
  <c r="X15" i="1" s="1"/>
  <c r="AA14" i="1"/>
  <c r="W14" i="1"/>
  <c r="V14" i="1"/>
  <c r="U14" i="1"/>
  <c r="AA13" i="1"/>
  <c r="W13" i="1"/>
  <c r="V13" i="1"/>
  <c r="X13" i="1" s="1"/>
  <c r="U13" i="1"/>
  <c r="AA12" i="1"/>
  <c r="W12" i="1"/>
  <c r="V12" i="1"/>
  <c r="U12" i="1"/>
  <c r="AA11" i="1"/>
  <c r="W11" i="1"/>
  <c r="V11" i="1"/>
  <c r="U11" i="1"/>
  <c r="AA10" i="1"/>
  <c r="W10" i="1"/>
  <c r="V10" i="1"/>
  <c r="U10" i="1"/>
  <c r="AA9" i="1"/>
  <c r="W9" i="1"/>
  <c r="V9" i="1"/>
  <c r="X9" i="1" s="1"/>
  <c r="U9" i="1"/>
  <c r="AA8" i="1"/>
  <c r="W8" i="1"/>
  <c r="V8" i="1"/>
  <c r="X8" i="1" s="1"/>
  <c r="U8" i="1"/>
  <c r="AA7" i="1"/>
  <c r="W7" i="1"/>
  <c r="V7" i="1"/>
  <c r="U7" i="1"/>
  <c r="AA6" i="1"/>
  <c r="W6" i="1"/>
  <c r="V6" i="1"/>
  <c r="U6" i="1"/>
  <c r="AA5" i="1"/>
  <c r="W5" i="1"/>
  <c r="V5" i="1"/>
  <c r="U5" i="1"/>
  <c r="AA4" i="1"/>
  <c r="X4" i="1"/>
  <c r="W4" i="1"/>
  <c r="V4" i="1"/>
  <c r="U4" i="1"/>
  <c r="AA3" i="1"/>
  <c r="W3" i="1"/>
  <c r="V3" i="1"/>
  <c r="U3" i="1"/>
  <c r="AA2" i="1"/>
  <c r="W2" i="1"/>
  <c r="V2" i="1"/>
  <c r="U2" i="1"/>
  <c r="X18" i="1" l="1"/>
  <c r="X5" i="1"/>
  <c r="X10" i="1"/>
  <c r="X11" i="1"/>
  <c r="X14" i="1"/>
  <c r="X33" i="1"/>
  <c r="X34" i="1"/>
  <c r="X35" i="1"/>
  <c r="X19" i="1"/>
  <c r="X20" i="1"/>
  <c r="X25" i="1"/>
  <c r="X26" i="1"/>
  <c r="X36" i="1"/>
  <c r="X39" i="1"/>
  <c r="X2" i="1"/>
  <c r="X3" i="1"/>
  <c r="X12" i="1"/>
  <c r="X17" i="1"/>
  <c r="X6" i="1"/>
  <c r="X7" i="1"/>
  <c r="X16" i="1"/>
  <c r="X29" i="1"/>
  <c r="X30" i="1"/>
  <c r="X31" i="1"/>
</calcChain>
</file>

<file path=xl/sharedStrings.xml><?xml version="1.0" encoding="utf-8"?>
<sst xmlns="http://schemas.openxmlformats.org/spreadsheetml/2006/main" count="782" uniqueCount="306">
  <si>
    <t>Date</t>
  </si>
  <si>
    <t>Line</t>
  </si>
  <si>
    <t>Product</t>
  </si>
  <si>
    <t>Asset</t>
  </si>
  <si>
    <t>AssetClass</t>
  </si>
  <si>
    <t>FailureMode_en</t>
  </si>
  <si>
    <t>FailureMode_ko</t>
  </si>
  <si>
    <t>ISO14224_Code</t>
  </si>
  <si>
    <t>Detection_en</t>
  </si>
  <si>
    <t>Detection_ko</t>
  </si>
  <si>
    <t>Action_en</t>
  </si>
  <si>
    <t>Action_ko</t>
  </si>
  <si>
    <t>Downtime_h</t>
  </si>
  <si>
    <t>RepairTime_h</t>
  </si>
  <si>
    <t>Crew1</t>
  </si>
  <si>
    <t>Crew2</t>
  </si>
  <si>
    <t>Crew3</t>
  </si>
  <si>
    <t>SparePart_SKU</t>
  </si>
  <si>
    <t>Spare_Qty_OnHand</t>
  </si>
  <si>
    <t>Reserved_Qty</t>
  </si>
  <si>
    <t>PartsCost_KRW</t>
  </si>
  <si>
    <t>LaborCost_KRW</t>
  </si>
  <si>
    <t>ProdLoss_KRW</t>
  </si>
  <si>
    <t>TotalCost_KRW</t>
  </si>
  <si>
    <t>MTBF_h</t>
  </si>
  <si>
    <t>MTTR_h</t>
  </si>
  <si>
    <t>Availability</t>
  </si>
  <si>
    <t>Detection_Source</t>
  </si>
  <si>
    <t>A</t>
  </si>
  <si>
    <t>AX-01</t>
  </si>
  <si>
    <t>ZA2115 Pillow Block</t>
  </si>
  <si>
    <t>Bearing</t>
  </si>
  <si>
    <t>Overgreasing causing churning losses</t>
  </si>
  <si>
    <t>과윤활로 인한 차닝 손실</t>
  </si>
  <si>
    <t>02-PDE</t>
  </si>
  <si>
    <t>Temperature rises with no fault frequencies, RMS moderate</t>
  </si>
  <si>
    <t>결함 주파수 없이 온도 상승, RMS 중간 수준</t>
  </si>
  <si>
    <t>Remove excess grease and set proper quantity</t>
  </si>
  <si>
    <t>과잉 그리스 제거 및 적정량 설정</t>
  </si>
  <si>
    <t>최가영</t>
  </si>
  <si>
    <t>GREASE-NLGI2</t>
  </si>
  <si>
    <t>Analysis</t>
  </si>
  <si>
    <t>Temperature monitoring (IR/thermography); Vibration analysis (spectrum/envelope per ISO 20816-3)</t>
  </si>
  <si>
    <t>Roller wear due to inadequate lubrication</t>
  </si>
  <si>
    <t>윤활 불량으로 인한 롤러 마모</t>
  </si>
  <si>
    <t>02-STD</t>
  </si>
  <si>
    <t>RMS increased (6.2→9.8 mm/s), rising broadband energy</t>
  </si>
  <si>
    <t>RMS 상승(6.2→9.8 mm/s), 광대역 에너지 증가</t>
  </si>
  <si>
    <t>Grease purge and refill</t>
  </si>
  <si>
    <t>그리스 퍼지 후 재주입</t>
  </si>
  <si>
    <t>김민수</t>
  </si>
  <si>
    <t>박지현</t>
  </si>
  <si>
    <t>ZA2115-INSERT</t>
  </si>
  <si>
    <t>Vibration analysis (spectrum/envelope per ISO 20816-3)</t>
  </si>
  <si>
    <t>C</t>
  </si>
  <si>
    <t>CX-01</t>
  </si>
  <si>
    <t>Rotor unbalance affecting bearing load</t>
  </si>
  <si>
    <t>로터 언밸런스로 인한 베어링 과하중</t>
  </si>
  <si>
    <t>Dominant 1× rotational peak, phase consistent</t>
  </si>
  <si>
    <t>지배적인 1× 회전 피크, 위상 일관</t>
  </si>
  <si>
    <t>Balance rotor and verify alignment</t>
  </si>
  <si>
    <t>로터 밸런싱 및 정렬 확인</t>
  </si>
  <si>
    <t>Incorrect seal type (clearance vs lip)</t>
  </si>
  <si>
    <t>부적절한 씰 타입(클리어런스 vs 립)</t>
  </si>
  <si>
    <t>02-INL</t>
  </si>
  <si>
    <t>Ingress indicators, temperature drift, oil leak traces</t>
  </si>
  <si>
    <t>오염 지표, 온도 드리프트, 윤활 누유 흔적</t>
  </si>
  <si>
    <t>Change to M Heavy Contact Lip Seal</t>
  </si>
  <si>
    <t>M 헤비 립 씰로 변경</t>
  </si>
  <si>
    <t>M-SEAL-HEAVY</t>
  </si>
  <si>
    <t>Temperature monitoring (IR/thermography)</t>
  </si>
  <si>
    <t>Seal damage → contamination ingress</t>
  </si>
  <si>
    <t>씰 파손 → 오염 유입</t>
  </si>
  <si>
    <t>Field inspection confirmed seal damage and contamination</t>
  </si>
  <si>
    <t>현장 점검으로 씰 손상 및 오염 확인</t>
  </si>
  <si>
    <t>Replace seal kit ZS6 and relubricate</t>
  </si>
  <si>
    <t>ZS6 씰 키트 교체 후 재윤활</t>
  </si>
  <si>
    <t>ZS6-SEAL</t>
  </si>
  <si>
    <t>Field</t>
  </si>
  <si>
    <t>Infrared thermography</t>
  </si>
  <si>
    <t>B</t>
  </si>
  <si>
    <t>BX-01</t>
  </si>
  <si>
    <t>Housing base crack</t>
  </si>
  <si>
    <t>하우징 베이스 크랙</t>
  </si>
  <si>
    <t>Visual inspection found base cracking</t>
  </si>
  <si>
    <t>육안 점검으로 베이스 크랙 확인</t>
  </si>
  <si>
    <t>Replace housing and reinstall base</t>
  </si>
  <si>
    <t>하우징 교체 및 베이스 재설치</t>
  </si>
  <si>
    <t>박지헌</t>
  </si>
  <si>
    <t>HOUSING-ZA2115</t>
  </si>
  <si>
    <t>Visual inspection</t>
  </si>
  <si>
    <t>Inner ring looseness on shaft</t>
  </si>
  <si>
    <t>내륜 샤프트 루즈니스</t>
  </si>
  <si>
    <t>02-SPO</t>
  </si>
  <si>
    <t>Field check found inner ring movement on shaft</t>
  </si>
  <si>
    <t>현장 점검으로 내륜 샤프트 유격 확인</t>
  </si>
  <si>
    <t>Install microlock kit and retorque</t>
  </si>
  <si>
    <t>마이크로락 키트 장착 및 재토크</t>
  </si>
  <si>
    <t>이현우</t>
  </si>
  <si>
    <t>ML2-MICROLOCK</t>
  </si>
  <si>
    <t>Field inspection (general)</t>
  </si>
  <si>
    <t>Cage wear (BSF)</t>
  </si>
  <si>
    <t>케이지 마모(BSF)</t>
  </si>
  <si>
    <t>BSF 2× and 3× harmonics prominent</t>
  </si>
  <si>
    <t>BSF 2×, 3× 하모닉 두드러짐</t>
  </si>
  <si>
    <t>Replace bearing and clean housing</t>
  </si>
  <si>
    <t>베어링 교체 및 하우징 세척</t>
  </si>
  <si>
    <t>ZA2115-SET</t>
  </si>
  <si>
    <t>D</t>
  </si>
  <si>
    <t>DX-01</t>
  </si>
  <si>
    <t>Grease channeling (starvation)</t>
  </si>
  <si>
    <t>그리스 채널링(윤활 부족)</t>
  </si>
  <si>
    <t>High-frequency peaks, temperature stable, RMS ↑</t>
  </si>
  <si>
    <t>고주파 피크, 온도 안정, RMS 상승</t>
  </si>
  <si>
    <t>Re-grease with proper method/time</t>
  </si>
  <si>
    <t>적정 방법/주기로 재윤활</t>
  </si>
  <si>
    <t>On-site lubrication check confirmed starvation</t>
  </si>
  <si>
    <t>현장 윤활 점검으로 윤활 부족 확인</t>
  </si>
  <si>
    <t>Infrared thermography; Lubrication audit / grease sampling (lab analysis)</t>
  </si>
  <si>
    <t>Misalignment (angular/parallel)</t>
  </si>
  <si>
    <t>미스얼라인먼트(각도/평행)</t>
  </si>
  <si>
    <t>1× rotational frequency axial peak, phase difference</t>
  </si>
  <si>
    <t>1× 회전수 축방향 피크, 위상 차</t>
  </si>
  <si>
    <t>Realign and secure base</t>
  </si>
  <si>
    <t>정렬 재작업 및 베이스 고정</t>
  </si>
  <si>
    <t>BASE-BOLT-16MM</t>
  </si>
  <si>
    <t>FTF (cage) defect</t>
  </si>
  <si>
    <t>FTF(케이지) 결함</t>
  </si>
  <si>
    <t>FTF fundamental and 2×, 3× harmonics observed</t>
  </si>
  <si>
    <t>FTF 기본 및 2×, 3× 하모닉 관측</t>
  </si>
  <si>
    <t>Inspect cage and replace if needed</t>
  </si>
  <si>
    <t>케이지 점검 및 필요 시 교체</t>
  </si>
  <si>
    <t>Seal type verified on-site; mismatch confirmed</t>
  </si>
  <si>
    <t>현장에서 씰 타입 확인; 부적합 확인</t>
  </si>
  <si>
    <t>문서현</t>
  </si>
  <si>
    <t>Grease aging/hardening</t>
  </si>
  <si>
    <t>그리스 노화/경화</t>
  </si>
  <si>
    <t>High RMS at low frequency, TAN/oxidation indicators</t>
  </si>
  <si>
    <t>저주파 RMS 상승, 산가/산화 지표 상승</t>
  </si>
  <si>
    <t>Purge old grease and refill (NLGI #2)</t>
  </si>
  <si>
    <t>구 그리스 퍼지 후 재주입(NLGI #2)</t>
  </si>
  <si>
    <t>Field balancing trial confirmed unbalance</t>
  </si>
  <si>
    <t>현장 밸런싱 트라이얼로 언밸런스 확인</t>
  </si>
  <si>
    <t>In-situ balancing trial; Infrared thermography</t>
  </si>
  <si>
    <t>Shaft step wear</t>
  </si>
  <si>
    <t>샤프트 스텝 마모</t>
  </si>
  <si>
    <t>Visual/IR inspection confirmed shaft step wear</t>
  </si>
  <si>
    <t>육안/IR 점검으로 샤프트 스텝 마모 확인</t>
  </si>
  <si>
    <t>Polish shaft and replace bearing</t>
  </si>
  <si>
    <t>샤프트 연마 및 베어링 교체</t>
  </si>
  <si>
    <t>Infrared thermography; Visual inspection</t>
  </si>
  <si>
    <t>Contamination (water ingress)</t>
  </si>
  <si>
    <t>오염(수분 유입)</t>
  </si>
  <si>
    <t>Particle count ↑, moisture % ↑, broadband energy</t>
  </si>
  <si>
    <t>입자 오염도↑, 수분 함량↑, 광대역 에너지</t>
  </si>
  <si>
    <t>Replace seals to Viton and flush grease</t>
  </si>
  <si>
    <t>Viton 씰로 교체 및 그리스 플러시</t>
  </si>
  <si>
    <t>VITON-SEAL</t>
  </si>
  <si>
    <t>Moisture analysis (ASTM D6304 Karl Fischer); Oil particle counting (ISO 4406); Vibration analysis (spectrum/envelope per ISO 20816-3)</t>
  </si>
  <si>
    <t>Grease sampling showed aging/hardening</t>
  </si>
  <si>
    <t>그리스 샘플링으로 노화/경화 확인</t>
  </si>
  <si>
    <t>Lubrication audit / grease sampling (lab analysis)</t>
  </si>
  <si>
    <t>Shaft slip due to loosened setscrew</t>
  </si>
  <si>
    <t>세트스크류 풀림으로 인한 샤프트 미끄럼</t>
  </si>
  <si>
    <t>Looseness harmonics (2x, 3x) and BPFI sidebands</t>
  </si>
  <si>
    <t>루즈니스 하모닉(2x, 3x) 및 BPFI 사이드밴드</t>
  </si>
  <si>
    <t>Retorque setscrew to 36.7 N·m</t>
  </si>
  <si>
    <t>세트스크류 재토크(36.7 N·m)</t>
  </si>
  <si>
    <t>SC6-COLLAR</t>
  </si>
  <si>
    <t>Soft foot at base causing misalignment</t>
  </si>
  <si>
    <t>베이스 소프트풋으로 인한 미스얼라인먼트</t>
  </si>
  <si>
    <t>High axial vibration, pedestal looseness test failed</t>
  </si>
  <si>
    <t>축방향 진동 증가, 베이스 루즈니스 테스트 실패</t>
  </si>
  <si>
    <t>Process/vibration monitoring (general)</t>
  </si>
  <si>
    <t>Fretting corrosion at fits</t>
  </si>
  <si>
    <t>결합부 프레팅 부식</t>
  </si>
  <si>
    <t>Low-frequency broadband with friction tones</t>
  </si>
  <si>
    <t>저주파 광대역 및 마찰톤</t>
  </si>
  <si>
    <t>Resurface fit and apply anti-fretting compound</t>
  </si>
  <si>
    <t>결합부 재가공 및 방지 코팅 적용</t>
  </si>
  <si>
    <t>Overload (process upset)</t>
  </si>
  <si>
    <t>과하중(공정 이상)</t>
  </si>
  <si>
    <t>Temperature ↑, RMS ↑, process pressure spike</t>
  </si>
  <si>
    <t>온도↑, RMS↑, 공정 압력 스파이크</t>
  </si>
  <si>
    <t>Normalize process and inspect bearing</t>
  </si>
  <si>
    <t>공정 정상화 및 베어링 점검</t>
  </si>
  <si>
    <t>Thermal growth misalignment</t>
  </si>
  <si>
    <t>열팽창 미스얼라인먼트</t>
  </si>
  <si>
    <t>Post-warm-up alignment check showed drift</t>
  </si>
  <si>
    <t>웜업 후 정렬 점검에서 드리프트 확인</t>
  </si>
  <si>
    <t>Laser/dial alignment check</t>
  </si>
  <si>
    <t>Inner race spalling (BPFI)</t>
  </si>
  <si>
    <t>내륜 스폴링(BPFI)</t>
  </si>
  <si>
    <t>BPFI peak and sidebands, elevated crest factor</t>
  </si>
  <si>
    <t>BPFI 피크와 사이드밴드, 크레스트 팩터 상승</t>
  </si>
  <si>
    <t>Replace bearing set and inspect shaft</t>
  </si>
  <si>
    <t>베어링 세트 교체 및 샤프트 점검</t>
  </si>
  <si>
    <t>Outer ring pitting (BPFO)</t>
  </si>
  <si>
    <t>외륜 피팅(BPFO)</t>
  </si>
  <si>
    <t>Visual inspection and stethoscope confirmed pitting</t>
  </si>
  <si>
    <t>육안 및 스테토스코프 점검으로 피팅 확인</t>
  </si>
  <si>
    <t>Replace bearing insert</t>
  </si>
  <si>
    <t>베어링 인서트 교체</t>
  </si>
  <si>
    <t>Acoustic listening (stethoscope); Infrared thermography; Visual inspection</t>
  </si>
  <si>
    <t>Outer race pitting (BPFO)</t>
  </si>
  <si>
    <t>BPFO peaks with harmonics, kurtosis increased</t>
  </si>
  <si>
    <t>BPFO 피크 및 조화, 커토시스 증가</t>
  </si>
  <si>
    <t>Alignment drifts after warm-up; phase change</t>
  </si>
  <si>
    <t>워밍업 후 정렬 드리프트; 위상 변화</t>
  </si>
  <si>
    <t>1× rotational axial peak, phase difference</t>
  </si>
  <si>
    <t>Looseness harmonics (2×, 3×) and BPFI sidebands</t>
  </si>
  <si>
    <t>루즈니스 하모닉(2×, 3×) 및 BPFI 사이드밴드</t>
  </si>
  <si>
    <t>입자수 ↑, 수분함량 ↑, 광대역 에너지</t>
  </si>
  <si>
    <t>Replace seal kit ZS6 and flush grease</t>
  </si>
  <si>
    <t>ZS6 씰 키트 교체 후 그리스 플러시</t>
  </si>
  <si>
    <t>Low-frequency resonance, rising temperature at housing</t>
  </si>
  <si>
    <t>저주파 공진, 하우징 온도 상승</t>
  </si>
  <si>
    <t>과윤활로 인한 차덩 손실</t>
  </si>
  <si>
    <t>Sidebands around 1×, modulation, phase instability</t>
  </si>
  <si>
    <t>1× 주변 사이드밴드, 변조, 위상 불안정</t>
  </si>
  <si>
    <t>Temperature increased (76→93°C), particle count high</t>
  </si>
  <si>
    <t>온도 상승(76→93°C), 입자 오염도 증가</t>
  </si>
  <si>
    <t>Oil particle counting (ISO 4406); Temperature monitoring (IR/thermography)</t>
  </si>
  <si>
    <t>Crest factor increased, spectral asymmetry</t>
  </si>
  <si>
    <t>크레스트 팩터 증가, 스펙트럼 비대칭</t>
  </si>
  <si>
    <t>SHAFT-49MM</t>
  </si>
  <si>
    <t>Cage fracture</t>
  </si>
  <si>
    <t>케이지 파손</t>
  </si>
  <si>
    <t>Impulsive peaks, BSF harmonics, kurtosis very high</t>
  </si>
  <si>
    <t>충격성 피크, BSF 하모닉, 커토시스 매우 높음</t>
  </si>
  <si>
    <t>Replace bearing set</t>
  </si>
  <si>
    <t>베어링 세트 교체</t>
  </si>
  <si>
    <t>HourlyLoss_KRW</t>
  </si>
  <si>
    <t>SKU</t>
  </si>
  <si>
    <t>PartName</t>
  </si>
  <si>
    <t>UnitPrice_KRW</t>
  </si>
  <si>
    <t>LeadTime_days</t>
  </si>
  <si>
    <t>Supplier</t>
  </si>
  <si>
    <t>Bearing Insert</t>
  </si>
  <si>
    <t>Rexnord</t>
  </si>
  <si>
    <t>2115U-INSERT</t>
  </si>
  <si>
    <t>Bearing Insert (2115U)</t>
  </si>
  <si>
    <t>Bearing Set</t>
  </si>
  <si>
    <t>Seal Kit ZS6</t>
  </si>
  <si>
    <t>Setscrew Collar</t>
  </si>
  <si>
    <t>Base Bolt 16mm</t>
  </si>
  <si>
    <t>Local</t>
  </si>
  <si>
    <t>Grease NLGI #2</t>
  </si>
  <si>
    <t>Shaft Ø49mm</t>
  </si>
  <si>
    <t>Housing ZA2115</t>
  </si>
  <si>
    <t>Microlock Kit ML2</t>
  </si>
  <si>
    <t>DTC6-ENDCAP</t>
  </si>
  <si>
    <t>End Cap DTC6</t>
  </si>
  <si>
    <t>Viton Seal</t>
  </si>
  <si>
    <t>K-SEAL-LIGHT</t>
  </si>
  <si>
    <t>K Light Contact Lip Seal</t>
  </si>
  <si>
    <t>M Heavy Contact Lip Seal</t>
  </si>
  <si>
    <t>Name</t>
  </si>
  <si>
    <t>Role</t>
  </si>
  <si>
    <t>Rate_KRW_per_h</t>
  </si>
  <si>
    <t>Sr. Technician</t>
  </si>
  <si>
    <t>Vibration Analyst</t>
  </si>
  <si>
    <t>Mechanic</t>
  </si>
  <si>
    <t>Lubrication Tech</t>
  </si>
  <si>
    <t>Field Engineer</t>
  </si>
  <si>
    <t>Code</t>
  </si>
  <si>
    <t>Description_en</t>
  </si>
  <si>
    <t>Description_ko</t>
  </si>
  <si>
    <t>Source</t>
  </si>
  <si>
    <t>01-FTS</t>
  </si>
  <si>
    <t>Failure to start on demand</t>
  </si>
  <si>
    <t>요구 시 기동 실패</t>
  </si>
  <si>
    <t>ISO 14224 (normative terminology)</t>
  </si>
  <si>
    <t>Structural deficiency (crack/wear/corrosion)</t>
  </si>
  <si>
    <t>구조적 결함(크랙/마모/부식)</t>
  </si>
  <si>
    <t>ISO 14224 (examples)</t>
  </si>
  <si>
    <t>Parameter deviation (out-of-tolerance alignment/vibration)</t>
  </si>
  <si>
    <t>매개변수 편차(정렬/진동 허용치 초과)</t>
  </si>
  <si>
    <t>02-PLU</t>
  </si>
  <si>
    <t>Plugged/Choked (flow restriction due contamination)</t>
  </si>
  <si>
    <t>플러그/막힘(오염으로 유로 제한)</t>
  </si>
  <si>
    <t>Motor</t>
  </si>
  <si>
    <t>01-FTI</t>
  </si>
  <si>
    <t>Failure to function as intended</t>
  </si>
  <si>
    <t>의도된 기능 수행 실패</t>
  </si>
  <si>
    <t>Spurious operation (unexpected start/stop)</t>
  </si>
  <si>
    <t>예상치 못한 동작(스퓨리어스)</t>
  </si>
  <si>
    <t>Pump</t>
  </si>
  <si>
    <t>Structural deficiency (impeller/bearing damage)</t>
  </si>
  <si>
    <t>구조적 결함(임펠러/베어링 손상)</t>
  </si>
  <si>
    <t>Generic</t>
  </si>
  <si>
    <t>Internal leakage (seal/packing failure)</t>
  </si>
  <si>
    <t>내부 누설(씰/패킹 문제)</t>
  </si>
  <si>
    <t>02-IHT</t>
  </si>
  <si>
    <t>Insufficient heat transfer (cooling/lube condition)</t>
  </si>
  <si>
    <t>열전달 부족(냉각/윤활 상태)</t>
  </si>
  <si>
    <t>Spurious operation</t>
  </si>
  <si>
    <t>예상치 못한 동작</t>
  </si>
  <si>
    <t>Parameter deviation (pressure/flow deviates)</t>
  </si>
  <si>
    <t>매개변수 편차(압력/유량 편차)</t>
  </si>
  <si>
    <t>설명(Notes)</t>
  </si>
  <si>
    <t>SKU: Stock Keeping Unit의 약어로, 자재/부품을 고유 식별하는 내부 코드. ERP/CMMS에서 구매/재고/리드타임/가격 연계에 사용.</t>
  </si>
  <si>
    <t>Spare_Qty_OnHand: 현재 창고에 물리적으로 보유 중인 사용 가능 수량.</t>
  </si>
  <si>
    <t>Reserved_Qty: 작업지시/예약으로 묶여 즉시 사용 불가한 수량. 실제 가용 수량 = OnHand - Reserved.</t>
  </si>
  <si>
    <t>MTBF/MTTR/Availability: 라인별 평균 고장 간격(시), 수리시간(시), 가동률=MTBF/(MTBF+MTTR). 이번 버전은 라인 고정 MTBF를 Records에 기재하고, 레코드별 MTTR로 가동률을 계산.</t>
  </si>
  <si>
    <t>Detection_Method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</si>
</sst>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"/>
  <sheetViews>
    <sheetView tabSelected="1" topLeftCell="U1" workbookViewId="0">
      <selection activeCell="AC14" sqref="AC14"/>
    </sheetView>
  </sheetViews>
  <sheetFormatPr defaultRowHeight="16.5" x14ac:dyDescent="0.3"/>
  <cols>
    <col min="1" max="1" width="11.125" bestFit="1" customWidth="1"/>
    <col min="2" max="3" width="10.625" customWidth="1"/>
    <col min="4" max="4" width="19.875" bestFit="1" customWidth="1"/>
    <col min="5" max="5" width="11.25" bestFit="1" customWidth="1"/>
    <col min="6" max="6" width="40.25" bestFit="1" customWidth="1"/>
    <col min="7" max="7" width="40.125" bestFit="1" customWidth="1"/>
    <col min="8" max="8" width="16.375" bestFit="1" customWidth="1"/>
    <col min="9" max="9" width="57" bestFit="1" customWidth="1"/>
    <col min="10" max="10" width="44.625" bestFit="1" customWidth="1"/>
    <col min="11" max="11" width="45.375" bestFit="1" customWidth="1"/>
    <col min="12" max="12" width="33.125" bestFit="1" customWidth="1"/>
    <col min="13" max="13" width="13" bestFit="1" customWidth="1"/>
    <col min="14" max="14" width="14" bestFit="1" customWidth="1"/>
    <col min="18" max="18" width="18.125" bestFit="1" customWidth="1"/>
    <col min="19" max="19" width="19.625" bestFit="1" customWidth="1"/>
    <col min="20" max="20" width="14.125" bestFit="1" customWidth="1"/>
    <col min="21" max="21" width="15.875" bestFit="1" customWidth="1"/>
    <col min="22" max="22" width="16.5" bestFit="1" customWidth="1"/>
    <col min="23" max="23" width="15.375" bestFit="1" customWidth="1"/>
    <col min="24" max="24" width="15.875" bestFit="1" customWidth="1"/>
    <col min="25" max="26" width="10.625" customWidth="1"/>
    <col min="27" max="27" width="11.625" bestFit="1" customWidth="1"/>
    <col min="28" max="28" width="17.625" bestFit="1" customWidth="1"/>
    <col min="29" max="29" width="127.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305</v>
      </c>
    </row>
    <row r="2" spans="1:29" x14ac:dyDescent="0.3">
      <c r="A2" s="3">
        <v>45670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>
        <v>2</v>
      </c>
      <c r="N2">
        <v>1</v>
      </c>
      <c r="O2" t="s">
        <v>39</v>
      </c>
      <c r="R2" t="s">
        <v>40</v>
      </c>
      <c r="S2">
        <v>25</v>
      </c>
      <c r="T2">
        <v>0</v>
      </c>
      <c r="U2">
        <f>IFERROR(VLOOKUP(R2,'부품 리드타임_가격표'!A:C,3,0)*IF(T2&gt;0,T2,1),0)</f>
        <v>25000</v>
      </c>
      <c r="V2">
        <f>(IFERROR(VLOOKUP(O2,'인력 단가표'!A:C,3,0),0)+IFERROR(VLOOKUP(P2,'인력 단가표'!A:C,3,0),0)+IFERROR(VLOOKUP(Q2,'인력 단가표'!A:C,3,0),0))*N2</f>
        <v>42000</v>
      </c>
      <c r="W2">
        <f>IFERROR(SUMIFS('라인별 시간당 손실단가'!C:C,'라인별 시간당 손실단가'!A:A,B2,'라인별 시간당 손실단가'!B:B,C2),0)*M2</f>
        <v>900000</v>
      </c>
      <c r="X2">
        <f t="shared" ref="X2:X41" si="0">SUM(U2,V2,W2)</f>
        <v>967000</v>
      </c>
      <c r="Y2">
        <v>1420.8</v>
      </c>
      <c r="Z2">
        <v>1</v>
      </c>
      <c r="AA2" s="2">
        <f t="shared" ref="AA2:AA41" si="1">IFERROR(Y2/(Y2+Z2),0)</f>
        <v>0.99929666619777746</v>
      </c>
      <c r="AB2" t="s">
        <v>41</v>
      </c>
      <c r="AC2" t="s">
        <v>42</v>
      </c>
    </row>
    <row r="3" spans="1:29" x14ac:dyDescent="0.3">
      <c r="A3" s="3">
        <v>45671</v>
      </c>
      <c r="B3" t="s">
        <v>28</v>
      </c>
      <c r="C3" t="s">
        <v>29</v>
      </c>
      <c r="D3" t="s">
        <v>30</v>
      </c>
      <c r="E3" t="s">
        <v>31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>
        <v>3</v>
      </c>
      <c r="N3">
        <v>2.5</v>
      </c>
      <c r="O3" t="s">
        <v>50</v>
      </c>
      <c r="P3" t="s">
        <v>51</v>
      </c>
      <c r="R3" t="s">
        <v>52</v>
      </c>
      <c r="S3">
        <v>4</v>
      </c>
      <c r="T3">
        <v>1</v>
      </c>
      <c r="U3">
        <f>IFERROR(VLOOKUP(R3,'부품 리드타임_가격표'!A:C,3,0)*IF(T3&gt;0,T3,1),0)</f>
        <v>620000</v>
      </c>
      <c r="V3">
        <f>(IFERROR(VLOOKUP(O3,'인력 단가표'!A:C,3,0),0)+IFERROR(VLOOKUP(P3,'인력 단가표'!A:C,3,0),0)+IFERROR(VLOOKUP(Q3,'인력 단가표'!A:C,3,0),0))*N3</f>
        <v>250000</v>
      </c>
      <c r="W3">
        <f>IFERROR(SUMIFS('라인별 시간당 손실단가'!C:C,'라인별 시간당 손실단가'!A:A,B3,'라인별 시간당 손실단가'!B:B,C3),0)*M3</f>
        <v>1350000</v>
      </c>
      <c r="X3">
        <f t="shared" si="0"/>
        <v>2220000</v>
      </c>
      <c r="Y3">
        <v>1420.8</v>
      </c>
      <c r="Z3">
        <v>2.5</v>
      </c>
      <c r="AA3" s="2">
        <f t="shared" si="1"/>
        <v>0.99824351858357341</v>
      </c>
      <c r="AB3" t="s">
        <v>41</v>
      </c>
      <c r="AC3" t="s">
        <v>53</v>
      </c>
    </row>
    <row r="4" spans="1:29" x14ac:dyDescent="0.3">
      <c r="A4" s="3">
        <v>45673</v>
      </c>
      <c r="B4" t="s">
        <v>54</v>
      </c>
      <c r="C4" t="s">
        <v>55</v>
      </c>
      <c r="D4" t="s">
        <v>30</v>
      </c>
      <c r="E4" t="s">
        <v>31</v>
      </c>
      <c r="F4" t="s">
        <v>56</v>
      </c>
      <c r="G4" t="s">
        <v>57</v>
      </c>
      <c r="H4" t="s">
        <v>34</v>
      </c>
      <c r="I4" t="s">
        <v>58</v>
      </c>
      <c r="J4" t="s">
        <v>59</v>
      </c>
      <c r="K4" t="s">
        <v>60</v>
      </c>
      <c r="L4" t="s">
        <v>61</v>
      </c>
      <c r="M4">
        <v>4</v>
      </c>
      <c r="N4">
        <v>2.5</v>
      </c>
      <c r="O4" t="s">
        <v>50</v>
      </c>
      <c r="S4">
        <v>8</v>
      </c>
      <c r="T4">
        <v>1</v>
      </c>
      <c r="U4">
        <f>IFERROR(VLOOKUP(R4,'부품 리드타임_가격표'!A:C,3,0)*IF(T4&gt;0,T4,1),0)</f>
        <v>0</v>
      </c>
      <c r="V4">
        <f>(IFERROR(VLOOKUP(O4,'인력 단가표'!A:C,3,0),0)+IFERROR(VLOOKUP(P4,'인력 단가표'!A:C,3,0),0)+IFERROR(VLOOKUP(Q4,'인력 단가표'!A:C,3,0),0))*N4</f>
        <v>120000</v>
      </c>
      <c r="W4">
        <f>IFERROR(SUMIFS('라인별 시간당 손실단가'!C:C,'라인별 시간당 손실단가'!A:A,B4,'라인별 시간당 손실단가'!B:B,C4),0)*M4</f>
        <v>1720000</v>
      </c>
      <c r="X4">
        <f t="shared" si="0"/>
        <v>1840000</v>
      </c>
      <c r="Y4">
        <v>1584</v>
      </c>
      <c r="Z4">
        <v>2.5</v>
      </c>
      <c r="AA4" s="2">
        <f t="shared" si="1"/>
        <v>0.99842420422313272</v>
      </c>
      <c r="AB4" t="s">
        <v>41</v>
      </c>
      <c r="AC4" t="s">
        <v>53</v>
      </c>
    </row>
    <row r="5" spans="1:29" x14ac:dyDescent="0.3">
      <c r="A5" s="3">
        <v>45674</v>
      </c>
      <c r="B5" t="s">
        <v>54</v>
      </c>
      <c r="C5" t="s">
        <v>55</v>
      </c>
      <c r="D5" t="s">
        <v>30</v>
      </c>
      <c r="E5" t="s">
        <v>31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>
        <v>3.5</v>
      </c>
      <c r="N5">
        <v>2.5</v>
      </c>
      <c r="O5" t="s">
        <v>51</v>
      </c>
      <c r="R5" t="s">
        <v>69</v>
      </c>
      <c r="S5">
        <v>10</v>
      </c>
      <c r="T5">
        <v>2</v>
      </c>
      <c r="U5">
        <f>IFERROR(VLOOKUP(R5,'부품 리드타임_가격표'!A:C,3,0)*IF(T5&gt;0,T5,1),0)</f>
        <v>520000</v>
      </c>
      <c r="V5">
        <f>(IFERROR(VLOOKUP(O5,'인력 단가표'!A:C,3,0),0)+IFERROR(VLOOKUP(P5,'인력 단가표'!A:C,3,0),0)+IFERROR(VLOOKUP(Q5,'인력 단가표'!A:C,3,0),0))*N5</f>
        <v>130000</v>
      </c>
      <c r="W5">
        <f>IFERROR(SUMIFS('라인별 시간당 손실단가'!C:C,'라인별 시간당 손실단가'!A:A,B5,'라인별 시간당 손실단가'!B:B,C5),0)*M5</f>
        <v>1505000</v>
      </c>
      <c r="X5">
        <f t="shared" si="0"/>
        <v>2155000</v>
      </c>
      <c r="Y5">
        <v>1584</v>
      </c>
      <c r="Z5">
        <v>2.5</v>
      </c>
      <c r="AA5" s="2">
        <f t="shared" si="1"/>
        <v>0.99842420422313272</v>
      </c>
      <c r="AB5" t="s">
        <v>41</v>
      </c>
      <c r="AC5" t="s">
        <v>70</v>
      </c>
    </row>
    <row r="6" spans="1:29" x14ac:dyDescent="0.3">
      <c r="A6" s="3">
        <v>45677</v>
      </c>
      <c r="B6" t="s">
        <v>28</v>
      </c>
      <c r="C6" t="s">
        <v>29</v>
      </c>
      <c r="D6" t="s">
        <v>30</v>
      </c>
      <c r="E6" t="s">
        <v>31</v>
      </c>
      <c r="F6" t="s">
        <v>71</v>
      </c>
      <c r="G6" t="s">
        <v>72</v>
      </c>
      <c r="H6" t="s">
        <v>64</v>
      </c>
      <c r="I6" t="s">
        <v>73</v>
      </c>
      <c r="J6" t="s">
        <v>74</v>
      </c>
      <c r="K6" t="s">
        <v>75</v>
      </c>
      <c r="L6" t="s">
        <v>76</v>
      </c>
      <c r="M6">
        <v>3</v>
      </c>
      <c r="N6">
        <v>2</v>
      </c>
      <c r="O6" t="s">
        <v>50</v>
      </c>
      <c r="R6" t="s">
        <v>77</v>
      </c>
      <c r="S6">
        <v>6</v>
      </c>
      <c r="T6">
        <v>1</v>
      </c>
      <c r="U6">
        <f>IFERROR(VLOOKUP(R6,'부품 리드타임_가격표'!A:C,3,0)*IF(T6&gt;0,T6,1),0)</f>
        <v>210000</v>
      </c>
      <c r="V6">
        <f>(IFERROR(VLOOKUP(O6,'인력 단가표'!A:C,3,0),0)+IFERROR(VLOOKUP(P6,'인력 단가표'!A:C,3,0),0)+IFERROR(VLOOKUP(Q6,'인력 단가표'!A:C,3,0),0))*N6</f>
        <v>96000</v>
      </c>
      <c r="W6">
        <f>IFERROR(SUMIFS('라인별 시간당 손실단가'!C:C,'라인별 시간당 손실단가'!A:A,B6,'라인별 시간당 손실단가'!B:B,C6),0)*M6</f>
        <v>1350000</v>
      </c>
      <c r="X6">
        <f t="shared" si="0"/>
        <v>1656000</v>
      </c>
      <c r="Y6">
        <v>1420.8</v>
      </c>
      <c r="Z6">
        <v>2</v>
      </c>
      <c r="AA6" s="2">
        <f t="shared" si="1"/>
        <v>0.99859432105707058</v>
      </c>
      <c r="AB6" t="s">
        <v>78</v>
      </c>
      <c r="AC6" t="s">
        <v>79</v>
      </c>
    </row>
    <row r="7" spans="1:29" x14ac:dyDescent="0.3">
      <c r="A7" s="3">
        <v>45685</v>
      </c>
      <c r="B7" t="s">
        <v>80</v>
      </c>
      <c r="C7" t="s">
        <v>81</v>
      </c>
      <c r="D7" t="s">
        <v>30</v>
      </c>
      <c r="E7" t="s">
        <v>31</v>
      </c>
      <c r="F7" t="s">
        <v>82</v>
      </c>
      <c r="G7" t="s">
        <v>83</v>
      </c>
      <c r="H7" t="s">
        <v>45</v>
      </c>
      <c r="I7" t="s">
        <v>84</v>
      </c>
      <c r="J7" t="s">
        <v>85</v>
      </c>
      <c r="K7" t="s">
        <v>86</v>
      </c>
      <c r="L7" t="s">
        <v>87</v>
      </c>
      <c r="M7">
        <v>4</v>
      </c>
      <c r="N7">
        <v>2.5</v>
      </c>
      <c r="O7" t="s">
        <v>88</v>
      </c>
      <c r="R7" t="s">
        <v>89</v>
      </c>
      <c r="S7">
        <v>1</v>
      </c>
      <c r="T7">
        <v>1</v>
      </c>
      <c r="U7">
        <f>IFERROR(VLOOKUP(R7,'부품 리드타임_가격표'!A:C,3,0)*IF(T7&gt;0,T7,1),0)</f>
        <v>950000</v>
      </c>
      <c r="V7">
        <f>(IFERROR(VLOOKUP(O7,'인력 단가표'!A:C,3,0),0)+IFERROR(VLOOKUP(P7,'인력 단가표'!A:C,3,0),0)+IFERROR(VLOOKUP(Q7,'인력 단가표'!A:C,3,0),0))*N7</f>
        <v>0</v>
      </c>
      <c r="W7">
        <f>IFERROR(SUMIFS('라인별 시간당 손실단가'!C:C,'라인별 시간당 손실단가'!A:A,B7,'라인별 시간당 손실단가'!B:B,C7),0)*M7</f>
        <v>1600000</v>
      </c>
      <c r="X7">
        <f t="shared" si="0"/>
        <v>2550000</v>
      </c>
      <c r="Y7">
        <v>988.8</v>
      </c>
      <c r="Z7">
        <v>2.5</v>
      </c>
      <c r="AA7" s="2">
        <f t="shared" si="1"/>
        <v>0.99747805911429432</v>
      </c>
      <c r="AB7" t="s">
        <v>78</v>
      </c>
      <c r="AC7" t="s">
        <v>90</v>
      </c>
    </row>
    <row r="8" spans="1:29" x14ac:dyDescent="0.3">
      <c r="A8" s="3">
        <v>45693</v>
      </c>
      <c r="B8" t="s">
        <v>54</v>
      </c>
      <c r="C8" t="s">
        <v>55</v>
      </c>
      <c r="D8" t="s">
        <v>30</v>
      </c>
      <c r="E8" t="s">
        <v>31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>
        <v>2.5</v>
      </c>
      <c r="N8">
        <v>1.5</v>
      </c>
      <c r="O8" t="s">
        <v>98</v>
      </c>
      <c r="R8" t="s">
        <v>99</v>
      </c>
      <c r="S8">
        <v>8</v>
      </c>
      <c r="T8">
        <v>1</v>
      </c>
      <c r="U8">
        <f>IFERROR(VLOOKUP(R8,'부품 리드타임_가격표'!A:C,3,0)*IF(T8&gt;0,T8,1),0)</f>
        <v>120000</v>
      </c>
      <c r="V8">
        <f>(IFERROR(VLOOKUP(O8,'인력 단가표'!A:C,3,0),0)+IFERROR(VLOOKUP(P8,'인력 단가표'!A:C,3,0),0)+IFERROR(VLOOKUP(Q8,'인력 단가표'!A:C,3,0),0))*N8</f>
        <v>67500</v>
      </c>
      <c r="W8">
        <f>IFERROR(SUMIFS('라인별 시간당 손실단가'!C:C,'라인별 시간당 손실단가'!A:A,B8,'라인별 시간당 손실단가'!B:B,C8),0)*M8</f>
        <v>1075000</v>
      </c>
      <c r="X8">
        <f t="shared" si="0"/>
        <v>1262500</v>
      </c>
      <c r="Y8">
        <v>1584</v>
      </c>
      <c r="Z8">
        <v>1.5</v>
      </c>
      <c r="AA8" s="2">
        <f t="shared" si="1"/>
        <v>0.99905392620624411</v>
      </c>
      <c r="AB8" t="s">
        <v>78</v>
      </c>
      <c r="AC8" t="s">
        <v>100</v>
      </c>
    </row>
    <row r="9" spans="1:29" x14ac:dyDescent="0.3">
      <c r="A9" s="3">
        <v>45702</v>
      </c>
      <c r="B9" t="s">
        <v>54</v>
      </c>
      <c r="C9" t="s">
        <v>55</v>
      </c>
      <c r="D9" t="s">
        <v>30</v>
      </c>
      <c r="E9" t="s">
        <v>31</v>
      </c>
      <c r="F9" t="s">
        <v>101</v>
      </c>
      <c r="G9" t="s">
        <v>102</v>
      </c>
      <c r="H9" t="s">
        <v>45</v>
      </c>
      <c r="I9" t="s">
        <v>103</v>
      </c>
      <c r="J9" t="s">
        <v>104</v>
      </c>
      <c r="K9" t="s">
        <v>105</v>
      </c>
      <c r="L9" t="s">
        <v>106</v>
      </c>
      <c r="M9">
        <v>5</v>
      </c>
      <c r="N9">
        <v>3.5</v>
      </c>
      <c r="O9" t="s">
        <v>51</v>
      </c>
      <c r="R9" t="s">
        <v>107</v>
      </c>
      <c r="S9">
        <v>2</v>
      </c>
      <c r="T9">
        <v>1</v>
      </c>
      <c r="U9">
        <f>IFERROR(VLOOKUP(R9,'부품 리드타임_가격표'!A:C,3,0)*IF(T9&gt;0,T9,1),0)</f>
        <v>980000</v>
      </c>
      <c r="V9">
        <f>(IFERROR(VLOOKUP(O9,'인력 단가표'!A:C,3,0),0)+IFERROR(VLOOKUP(P9,'인력 단가표'!A:C,3,0),0)+IFERROR(VLOOKUP(Q9,'인력 단가표'!A:C,3,0),0))*N9</f>
        <v>182000</v>
      </c>
      <c r="W9">
        <f>IFERROR(SUMIFS('라인별 시간당 손실단가'!C:C,'라인별 시간당 손실단가'!A:A,B9,'라인별 시간당 손실단가'!B:B,C9),0)*M9</f>
        <v>2150000</v>
      </c>
      <c r="X9">
        <f t="shared" si="0"/>
        <v>3312000</v>
      </c>
      <c r="Y9">
        <v>1584</v>
      </c>
      <c r="Z9">
        <v>3.5</v>
      </c>
      <c r="AA9" s="2">
        <f t="shared" si="1"/>
        <v>0.99779527559055115</v>
      </c>
      <c r="AB9" t="s">
        <v>41</v>
      </c>
      <c r="AC9" t="s">
        <v>53</v>
      </c>
    </row>
    <row r="10" spans="1:29" x14ac:dyDescent="0.3">
      <c r="A10" s="3">
        <v>45705</v>
      </c>
      <c r="B10" t="s">
        <v>108</v>
      </c>
      <c r="C10" t="s">
        <v>109</v>
      </c>
      <c r="D10" t="s">
        <v>30</v>
      </c>
      <c r="E10" t="s">
        <v>31</v>
      </c>
      <c r="F10" t="s">
        <v>110</v>
      </c>
      <c r="G10" t="s">
        <v>111</v>
      </c>
      <c r="H10" t="s">
        <v>34</v>
      </c>
      <c r="I10" t="s">
        <v>112</v>
      </c>
      <c r="J10" t="s">
        <v>113</v>
      </c>
      <c r="K10" t="s">
        <v>114</v>
      </c>
      <c r="L10" t="s">
        <v>115</v>
      </c>
      <c r="M10">
        <v>2.5</v>
      </c>
      <c r="N10">
        <v>1.5</v>
      </c>
      <c r="O10" t="s">
        <v>51</v>
      </c>
      <c r="R10" t="s">
        <v>40</v>
      </c>
      <c r="S10">
        <v>25</v>
      </c>
      <c r="T10">
        <v>0</v>
      </c>
      <c r="U10">
        <f>IFERROR(VLOOKUP(R10,'부품 리드타임_가격표'!A:C,3,0)*IF(T10&gt;0,T10,1),0)</f>
        <v>25000</v>
      </c>
      <c r="V10">
        <f>(IFERROR(VLOOKUP(O10,'인력 단가표'!A:C,3,0),0)+IFERROR(VLOOKUP(P10,'인력 단가표'!A:C,3,0),0)+IFERROR(VLOOKUP(Q10,'인력 단가표'!A:C,3,0),0))*N10</f>
        <v>78000</v>
      </c>
      <c r="W10">
        <f>IFERROR(SUMIFS('라인별 시간당 손실단가'!C:C,'라인별 시간당 손실단가'!A:A,B10,'라인별 시간당 손실단가'!B:B,C10),0)*M10</f>
        <v>1025000</v>
      </c>
      <c r="X10">
        <f t="shared" si="0"/>
        <v>1128000</v>
      </c>
      <c r="Y10">
        <v>1680</v>
      </c>
      <c r="Z10">
        <v>1.5</v>
      </c>
      <c r="AA10" s="2">
        <f t="shared" si="1"/>
        <v>0.99910793933987507</v>
      </c>
      <c r="AB10" t="s">
        <v>41</v>
      </c>
      <c r="AC10" t="s">
        <v>42</v>
      </c>
    </row>
    <row r="11" spans="1:29" x14ac:dyDescent="0.3">
      <c r="A11" s="3">
        <v>45707</v>
      </c>
      <c r="B11" t="s">
        <v>108</v>
      </c>
      <c r="C11" t="s">
        <v>109</v>
      </c>
      <c r="D11" t="s">
        <v>30</v>
      </c>
      <c r="E11" t="s">
        <v>31</v>
      </c>
      <c r="F11" t="s">
        <v>110</v>
      </c>
      <c r="G11" t="s">
        <v>111</v>
      </c>
      <c r="H11" t="s">
        <v>34</v>
      </c>
      <c r="I11" t="s">
        <v>116</v>
      </c>
      <c r="J11" t="s">
        <v>117</v>
      </c>
      <c r="K11" t="s">
        <v>114</v>
      </c>
      <c r="L11" t="s">
        <v>115</v>
      </c>
      <c r="M11">
        <v>5</v>
      </c>
      <c r="N11">
        <v>3</v>
      </c>
      <c r="O11" t="s">
        <v>39</v>
      </c>
      <c r="R11" t="s">
        <v>40</v>
      </c>
      <c r="S11">
        <v>25</v>
      </c>
      <c r="T11">
        <v>1</v>
      </c>
      <c r="U11">
        <f>IFERROR(VLOOKUP(R11,'부품 리드타임_가격표'!A:C,3,0)*IF(T11&gt;0,T11,1),0)</f>
        <v>25000</v>
      </c>
      <c r="V11">
        <f>(IFERROR(VLOOKUP(O11,'인력 단가표'!A:C,3,0),0)+IFERROR(VLOOKUP(P11,'인력 단가표'!A:C,3,0),0)+IFERROR(VLOOKUP(Q11,'인력 단가표'!A:C,3,0),0))*N11</f>
        <v>126000</v>
      </c>
      <c r="W11">
        <f>IFERROR(SUMIFS('라인별 시간당 손실단가'!C:C,'라인별 시간당 손실단가'!A:A,B11,'라인별 시간당 손실단가'!B:B,C11),0)*M11</f>
        <v>2050000</v>
      </c>
      <c r="X11">
        <f t="shared" si="0"/>
        <v>2201000</v>
      </c>
      <c r="Y11">
        <v>1680</v>
      </c>
      <c r="Z11">
        <v>3</v>
      </c>
      <c r="AA11" s="2">
        <f t="shared" si="1"/>
        <v>0.99821746880570406</v>
      </c>
      <c r="AB11" t="s">
        <v>78</v>
      </c>
      <c r="AC11" t="s">
        <v>118</v>
      </c>
    </row>
    <row r="12" spans="1:29" x14ac:dyDescent="0.3">
      <c r="A12" s="3">
        <v>45710</v>
      </c>
      <c r="B12" t="s">
        <v>80</v>
      </c>
      <c r="C12" t="s">
        <v>81</v>
      </c>
      <c r="D12" t="s">
        <v>30</v>
      </c>
      <c r="E12" t="s">
        <v>31</v>
      </c>
      <c r="F12" t="s">
        <v>119</v>
      </c>
      <c r="G12" t="s">
        <v>120</v>
      </c>
      <c r="H12" t="s">
        <v>34</v>
      </c>
      <c r="I12" t="s">
        <v>121</v>
      </c>
      <c r="J12" t="s">
        <v>122</v>
      </c>
      <c r="K12" t="s">
        <v>123</v>
      </c>
      <c r="L12" t="s">
        <v>124</v>
      </c>
      <c r="M12">
        <v>3.5</v>
      </c>
      <c r="N12">
        <v>2</v>
      </c>
      <c r="O12" t="s">
        <v>50</v>
      </c>
      <c r="R12" t="s">
        <v>125</v>
      </c>
      <c r="S12">
        <v>40</v>
      </c>
      <c r="T12">
        <v>8</v>
      </c>
      <c r="U12">
        <f>IFERROR(VLOOKUP(R12,'부품 리드타임_가격표'!A:C,3,0)*IF(T12&gt;0,T12,1),0)</f>
        <v>40000</v>
      </c>
      <c r="V12">
        <f>(IFERROR(VLOOKUP(O12,'인력 단가표'!A:C,3,0),0)+IFERROR(VLOOKUP(P12,'인력 단가표'!A:C,3,0),0)+IFERROR(VLOOKUP(Q12,'인력 단가표'!A:C,3,0),0))*N12</f>
        <v>96000</v>
      </c>
      <c r="W12">
        <f>IFERROR(SUMIFS('라인별 시간당 손실단가'!C:C,'라인별 시간당 손실단가'!A:A,B12,'라인별 시간당 손실단가'!B:B,C12),0)*M12</f>
        <v>1400000</v>
      </c>
      <c r="X12">
        <f t="shared" si="0"/>
        <v>1536000</v>
      </c>
      <c r="Y12">
        <v>988.8</v>
      </c>
      <c r="Z12">
        <v>2</v>
      </c>
      <c r="AA12" s="2">
        <f t="shared" si="1"/>
        <v>0.99798142914816312</v>
      </c>
      <c r="AB12" t="s">
        <v>41</v>
      </c>
      <c r="AC12" t="s">
        <v>53</v>
      </c>
    </row>
    <row r="13" spans="1:29" x14ac:dyDescent="0.3">
      <c r="A13" s="3">
        <v>45715</v>
      </c>
      <c r="B13" t="s">
        <v>28</v>
      </c>
      <c r="C13" t="s">
        <v>29</v>
      </c>
      <c r="D13" t="s">
        <v>30</v>
      </c>
      <c r="E13" t="s">
        <v>31</v>
      </c>
      <c r="F13" t="s">
        <v>126</v>
      </c>
      <c r="G13" t="s">
        <v>127</v>
      </c>
      <c r="H13" t="s">
        <v>45</v>
      </c>
      <c r="I13" t="s">
        <v>128</v>
      </c>
      <c r="J13" t="s">
        <v>129</v>
      </c>
      <c r="K13" t="s">
        <v>130</v>
      </c>
      <c r="L13" t="s">
        <v>131</v>
      </c>
      <c r="M13">
        <v>3</v>
      </c>
      <c r="N13">
        <v>2</v>
      </c>
      <c r="O13" t="s">
        <v>50</v>
      </c>
      <c r="R13" t="s">
        <v>107</v>
      </c>
      <c r="S13">
        <v>2</v>
      </c>
      <c r="T13">
        <v>1</v>
      </c>
      <c r="U13">
        <f>IFERROR(VLOOKUP(R13,'부품 리드타임_가격표'!A:C,3,0)*IF(T13&gt;0,T13,1),0)</f>
        <v>980000</v>
      </c>
      <c r="V13">
        <f>(IFERROR(VLOOKUP(O13,'인력 단가표'!A:C,3,0),0)+IFERROR(VLOOKUP(P13,'인력 단가표'!A:C,3,0),0)+IFERROR(VLOOKUP(Q13,'인력 단가표'!A:C,3,0),0))*N13</f>
        <v>96000</v>
      </c>
      <c r="W13">
        <f>IFERROR(SUMIFS('라인별 시간당 손실단가'!C:C,'라인별 시간당 손실단가'!A:A,B13,'라인별 시간당 손실단가'!B:B,C13),0)*M13</f>
        <v>1350000</v>
      </c>
      <c r="X13">
        <f t="shared" si="0"/>
        <v>2426000</v>
      </c>
      <c r="Y13">
        <v>1420.8</v>
      </c>
      <c r="Z13">
        <v>2</v>
      </c>
      <c r="AA13" s="2">
        <f t="shared" si="1"/>
        <v>0.99859432105707058</v>
      </c>
      <c r="AB13" t="s">
        <v>41</v>
      </c>
      <c r="AC13" t="s">
        <v>53</v>
      </c>
    </row>
    <row r="14" spans="1:29" x14ac:dyDescent="0.3">
      <c r="A14" s="3">
        <v>45721</v>
      </c>
      <c r="B14" t="s">
        <v>28</v>
      </c>
      <c r="C14" t="s">
        <v>29</v>
      </c>
      <c r="D14" t="s">
        <v>30</v>
      </c>
      <c r="E14" t="s">
        <v>31</v>
      </c>
      <c r="F14" t="s">
        <v>62</v>
      </c>
      <c r="G14" t="s">
        <v>63</v>
      </c>
      <c r="H14" t="s">
        <v>64</v>
      </c>
      <c r="I14" t="s">
        <v>132</v>
      </c>
      <c r="J14" t="s">
        <v>133</v>
      </c>
      <c r="K14" t="s">
        <v>67</v>
      </c>
      <c r="L14" t="s">
        <v>68</v>
      </c>
      <c r="M14">
        <v>3.5</v>
      </c>
      <c r="N14">
        <v>2</v>
      </c>
      <c r="O14" t="s">
        <v>134</v>
      </c>
      <c r="R14" t="s">
        <v>69</v>
      </c>
      <c r="S14">
        <v>10</v>
      </c>
      <c r="T14">
        <v>1</v>
      </c>
      <c r="U14">
        <f>IFERROR(VLOOKUP(R14,'부품 리드타임_가격표'!A:C,3,0)*IF(T14&gt;0,T14,1),0)</f>
        <v>260000</v>
      </c>
      <c r="V14">
        <f>(IFERROR(VLOOKUP(O14,'인력 단가표'!A:C,3,0),0)+IFERROR(VLOOKUP(P14,'인력 단가표'!A:C,3,0),0)+IFERROR(VLOOKUP(Q14,'인력 단가표'!A:C,3,0),0))*N14</f>
        <v>110000</v>
      </c>
      <c r="W14">
        <f>IFERROR(SUMIFS('라인별 시간당 손실단가'!C:C,'라인별 시간당 손실단가'!A:A,B14,'라인별 시간당 손실단가'!B:B,C14),0)*M14</f>
        <v>1575000</v>
      </c>
      <c r="X14">
        <f t="shared" si="0"/>
        <v>1945000</v>
      </c>
      <c r="Y14">
        <v>1420.8</v>
      </c>
      <c r="Z14">
        <v>2</v>
      </c>
      <c r="AA14" s="2">
        <f t="shared" si="1"/>
        <v>0.99859432105707058</v>
      </c>
      <c r="AB14" t="s">
        <v>78</v>
      </c>
      <c r="AC14" t="s">
        <v>79</v>
      </c>
    </row>
    <row r="15" spans="1:29" x14ac:dyDescent="0.3">
      <c r="A15" s="3">
        <v>45729</v>
      </c>
      <c r="B15" t="s">
        <v>108</v>
      </c>
      <c r="C15" t="s">
        <v>109</v>
      </c>
      <c r="D15" t="s">
        <v>30</v>
      </c>
      <c r="E15" t="s">
        <v>31</v>
      </c>
      <c r="F15" t="s">
        <v>135</v>
      </c>
      <c r="G15" t="s">
        <v>136</v>
      </c>
      <c r="H15" t="s">
        <v>34</v>
      </c>
      <c r="I15" t="s">
        <v>137</v>
      </c>
      <c r="J15" t="s">
        <v>138</v>
      </c>
      <c r="K15" t="s">
        <v>139</v>
      </c>
      <c r="L15" t="s">
        <v>140</v>
      </c>
      <c r="M15">
        <v>2.5</v>
      </c>
      <c r="N15">
        <v>2</v>
      </c>
      <c r="O15" t="s">
        <v>39</v>
      </c>
      <c r="R15" t="s">
        <v>40</v>
      </c>
      <c r="S15">
        <v>25</v>
      </c>
      <c r="T15">
        <v>3</v>
      </c>
      <c r="U15">
        <f>IFERROR(VLOOKUP(R15,'부품 리드타임_가격표'!A:C,3,0)*IF(T15&gt;0,T15,1),0)</f>
        <v>75000</v>
      </c>
      <c r="V15">
        <f>(IFERROR(VLOOKUP(O15,'인력 단가표'!A:C,3,0),0)+IFERROR(VLOOKUP(P15,'인력 단가표'!A:C,3,0),0)+IFERROR(VLOOKUP(Q15,'인력 단가표'!A:C,3,0),0))*N15</f>
        <v>84000</v>
      </c>
      <c r="W15">
        <f>IFERROR(SUMIFS('라인별 시간당 손실단가'!C:C,'라인별 시간당 손실단가'!A:A,B15,'라인별 시간당 손실단가'!B:B,C15),0)*M15</f>
        <v>1025000</v>
      </c>
      <c r="X15">
        <f t="shared" si="0"/>
        <v>1184000</v>
      </c>
      <c r="Y15">
        <v>1680</v>
      </c>
      <c r="Z15">
        <v>2</v>
      </c>
      <c r="AA15" s="2">
        <f t="shared" si="1"/>
        <v>0.99881093935790721</v>
      </c>
      <c r="AB15" t="s">
        <v>41</v>
      </c>
      <c r="AC15" t="s">
        <v>53</v>
      </c>
    </row>
    <row r="16" spans="1:29" x14ac:dyDescent="0.3">
      <c r="A16" s="3">
        <v>45738</v>
      </c>
      <c r="B16" t="s">
        <v>80</v>
      </c>
      <c r="C16" t="s">
        <v>81</v>
      </c>
      <c r="D16" t="s">
        <v>30</v>
      </c>
      <c r="E16" t="s">
        <v>31</v>
      </c>
      <c r="F16" t="s">
        <v>56</v>
      </c>
      <c r="G16" t="s">
        <v>57</v>
      </c>
      <c r="H16" t="s">
        <v>34</v>
      </c>
      <c r="I16" t="s">
        <v>141</v>
      </c>
      <c r="J16" t="s">
        <v>142</v>
      </c>
      <c r="K16" t="s">
        <v>60</v>
      </c>
      <c r="L16" t="s">
        <v>61</v>
      </c>
      <c r="M16">
        <v>6</v>
      </c>
      <c r="N16">
        <v>3.5</v>
      </c>
      <c r="O16" t="s">
        <v>50</v>
      </c>
      <c r="P16" t="s">
        <v>88</v>
      </c>
      <c r="S16">
        <v>0</v>
      </c>
      <c r="T16">
        <v>0</v>
      </c>
      <c r="U16">
        <f>IFERROR(VLOOKUP(R16,'부품 리드타임_가격표'!A:C,3,0)*IF(T16&gt;0,T16,1),0)</f>
        <v>0</v>
      </c>
      <c r="V16">
        <f>(IFERROR(VLOOKUP(O16,'인력 단가표'!A:C,3,0),0)+IFERROR(VLOOKUP(P16,'인력 단가표'!A:C,3,0),0)+IFERROR(VLOOKUP(Q16,'인력 단가표'!A:C,3,0),0))*N16</f>
        <v>168000</v>
      </c>
      <c r="W16">
        <f>IFERROR(SUMIFS('라인별 시간당 손실단가'!C:C,'라인별 시간당 손실단가'!A:A,B16,'라인별 시간당 손실단가'!B:B,C16),0)*M16</f>
        <v>2400000</v>
      </c>
      <c r="X16">
        <f t="shared" si="0"/>
        <v>2568000</v>
      </c>
      <c r="Y16">
        <v>988.8</v>
      </c>
      <c r="Z16">
        <v>3.5</v>
      </c>
      <c r="AA16" s="2">
        <f t="shared" si="1"/>
        <v>0.99647284087473542</v>
      </c>
      <c r="AB16" t="s">
        <v>78</v>
      </c>
      <c r="AC16" t="s">
        <v>143</v>
      </c>
    </row>
    <row r="17" spans="1:29" x14ac:dyDescent="0.3">
      <c r="A17" s="3">
        <v>45755</v>
      </c>
      <c r="B17" t="s">
        <v>54</v>
      </c>
      <c r="C17" t="s">
        <v>55</v>
      </c>
      <c r="D17" t="s">
        <v>30</v>
      </c>
      <c r="E17" t="s">
        <v>31</v>
      </c>
      <c r="F17" t="s">
        <v>144</v>
      </c>
      <c r="G17" t="s">
        <v>145</v>
      </c>
      <c r="H17" t="s">
        <v>45</v>
      </c>
      <c r="I17" t="s">
        <v>146</v>
      </c>
      <c r="J17" t="s">
        <v>147</v>
      </c>
      <c r="K17" t="s">
        <v>148</v>
      </c>
      <c r="L17" t="s">
        <v>149</v>
      </c>
      <c r="M17">
        <v>7</v>
      </c>
      <c r="N17">
        <v>4</v>
      </c>
      <c r="O17" t="s">
        <v>50</v>
      </c>
      <c r="P17" t="s">
        <v>98</v>
      </c>
      <c r="R17" t="s">
        <v>107</v>
      </c>
      <c r="S17">
        <v>2</v>
      </c>
      <c r="T17">
        <v>1</v>
      </c>
      <c r="U17">
        <f>IFERROR(VLOOKUP(R17,'부품 리드타임_가격표'!A:C,3,0)*IF(T17&gt;0,T17,1),0)</f>
        <v>980000</v>
      </c>
      <c r="V17">
        <f>(IFERROR(VLOOKUP(O17,'인력 단가표'!A:C,3,0),0)+IFERROR(VLOOKUP(P17,'인력 단가표'!A:C,3,0),0)+IFERROR(VLOOKUP(Q17,'인력 단가표'!A:C,3,0),0))*N17</f>
        <v>372000</v>
      </c>
      <c r="W17">
        <f>IFERROR(SUMIFS('라인별 시간당 손실단가'!C:C,'라인별 시간당 손실단가'!A:A,B17,'라인별 시간당 손실단가'!B:B,C17),0)*M17</f>
        <v>3010000</v>
      </c>
      <c r="X17">
        <f t="shared" si="0"/>
        <v>4362000</v>
      </c>
      <c r="Y17">
        <v>1584</v>
      </c>
      <c r="Z17">
        <v>4</v>
      </c>
      <c r="AA17" s="2">
        <f t="shared" si="1"/>
        <v>0.9974811083123426</v>
      </c>
      <c r="AB17" t="s">
        <v>78</v>
      </c>
      <c r="AC17" t="s">
        <v>150</v>
      </c>
    </row>
    <row r="18" spans="1:29" x14ac:dyDescent="0.3">
      <c r="A18" s="3">
        <v>45759</v>
      </c>
      <c r="B18" t="s">
        <v>80</v>
      </c>
      <c r="C18" t="s">
        <v>81</v>
      </c>
      <c r="D18" t="s">
        <v>30</v>
      </c>
      <c r="E18" t="s">
        <v>31</v>
      </c>
      <c r="F18" t="s">
        <v>151</v>
      </c>
      <c r="G18" t="s">
        <v>152</v>
      </c>
      <c r="H18" t="s">
        <v>64</v>
      </c>
      <c r="I18" t="s">
        <v>153</v>
      </c>
      <c r="J18" t="s">
        <v>154</v>
      </c>
      <c r="K18" t="s">
        <v>155</v>
      </c>
      <c r="L18" t="s">
        <v>156</v>
      </c>
      <c r="M18">
        <v>3</v>
      </c>
      <c r="N18">
        <v>2</v>
      </c>
      <c r="O18" t="s">
        <v>98</v>
      </c>
      <c r="R18" t="s">
        <v>157</v>
      </c>
      <c r="S18">
        <v>5</v>
      </c>
      <c r="T18">
        <v>1</v>
      </c>
      <c r="U18">
        <f>IFERROR(VLOOKUP(R18,'부품 리드타임_가격표'!A:C,3,0)*IF(T18&gt;0,T18,1),0)</f>
        <v>180000</v>
      </c>
      <c r="V18">
        <f>(IFERROR(VLOOKUP(O18,'인력 단가표'!A:C,3,0),0)+IFERROR(VLOOKUP(P18,'인력 단가표'!A:C,3,0),0)+IFERROR(VLOOKUP(Q18,'인력 단가표'!A:C,3,0),0))*N18</f>
        <v>90000</v>
      </c>
      <c r="W18">
        <f>IFERROR(SUMIFS('라인별 시간당 손실단가'!C:C,'라인별 시간당 손실단가'!A:A,B18,'라인별 시간당 손실단가'!B:B,C18),0)*M18</f>
        <v>1200000</v>
      </c>
      <c r="X18">
        <f t="shared" si="0"/>
        <v>1470000</v>
      </c>
      <c r="Y18">
        <v>988.8</v>
      </c>
      <c r="Z18">
        <v>2</v>
      </c>
      <c r="AA18" s="2">
        <f t="shared" si="1"/>
        <v>0.99798142914816312</v>
      </c>
      <c r="AB18" t="s">
        <v>41</v>
      </c>
      <c r="AC18" t="s">
        <v>158</v>
      </c>
    </row>
    <row r="19" spans="1:29" x14ac:dyDescent="0.3">
      <c r="A19" s="3">
        <v>45765</v>
      </c>
      <c r="B19" t="s">
        <v>108</v>
      </c>
      <c r="C19" t="s">
        <v>109</v>
      </c>
      <c r="D19" t="s">
        <v>30</v>
      </c>
      <c r="E19" t="s">
        <v>31</v>
      </c>
      <c r="F19" t="s">
        <v>135</v>
      </c>
      <c r="G19" t="s">
        <v>136</v>
      </c>
      <c r="H19" t="s">
        <v>34</v>
      </c>
      <c r="I19" t="s">
        <v>159</v>
      </c>
      <c r="J19" t="s">
        <v>160</v>
      </c>
      <c r="K19" t="s">
        <v>139</v>
      </c>
      <c r="L19" t="s">
        <v>140</v>
      </c>
      <c r="M19">
        <v>2</v>
      </c>
      <c r="N19">
        <v>1.5</v>
      </c>
      <c r="O19" t="s">
        <v>88</v>
      </c>
      <c r="P19" t="s">
        <v>134</v>
      </c>
      <c r="R19" t="s">
        <v>40</v>
      </c>
      <c r="S19">
        <v>25</v>
      </c>
      <c r="T19">
        <v>1</v>
      </c>
      <c r="U19">
        <f>IFERROR(VLOOKUP(R19,'부품 리드타임_가격표'!A:C,3,0)*IF(T19&gt;0,T19,1),0)</f>
        <v>25000</v>
      </c>
      <c r="V19">
        <f>(IFERROR(VLOOKUP(O19,'인력 단가표'!A:C,3,0),0)+IFERROR(VLOOKUP(P19,'인력 단가표'!A:C,3,0),0)+IFERROR(VLOOKUP(Q19,'인력 단가표'!A:C,3,0),0))*N19</f>
        <v>82500</v>
      </c>
      <c r="W19">
        <f>IFERROR(SUMIFS('라인별 시간당 손실단가'!C:C,'라인별 시간당 손실단가'!A:A,B19,'라인별 시간당 손실단가'!B:B,C19),0)*M19</f>
        <v>820000</v>
      </c>
      <c r="X19">
        <f t="shared" si="0"/>
        <v>927500</v>
      </c>
      <c r="Y19">
        <v>1680</v>
      </c>
      <c r="Z19">
        <v>1.5</v>
      </c>
      <c r="AA19" s="2">
        <f t="shared" si="1"/>
        <v>0.99910793933987507</v>
      </c>
      <c r="AB19" t="s">
        <v>78</v>
      </c>
      <c r="AC19" t="s">
        <v>161</v>
      </c>
    </row>
    <row r="20" spans="1:29" x14ac:dyDescent="0.3">
      <c r="A20" s="3">
        <v>45769</v>
      </c>
      <c r="B20" t="s">
        <v>80</v>
      </c>
      <c r="C20" t="s">
        <v>81</v>
      </c>
      <c r="D20" t="s">
        <v>30</v>
      </c>
      <c r="E20" t="s">
        <v>31</v>
      </c>
      <c r="F20" t="s">
        <v>162</v>
      </c>
      <c r="G20" t="s">
        <v>163</v>
      </c>
      <c r="H20" t="s">
        <v>93</v>
      </c>
      <c r="I20" t="s">
        <v>164</v>
      </c>
      <c r="J20" t="s">
        <v>165</v>
      </c>
      <c r="K20" t="s">
        <v>166</v>
      </c>
      <c r="L20" t="s">
        <v>167</v>
      </c>
      <c r="M20">
        <v>2</v>
      </c>
      <c r="N20">
        <v>1.5</v>
      </c>
      <c r="O20" t="s">
        <v>98</v>
      </c>
      <c r="R20" t="s">
        <v>168</v>
      </c>
      <c r="S20">
        <v>12</v>
      </c>
      <c r="T20">
        <v>0</v>
      </c>
      <c r="U20">
        <f>IFERROR(VLOOKUP(R20,'부품 리드타임_가격표'!A:C,3,0)*IF(T20&gt;0,T20,1),0)</f>
        <v>45000</v>
      </c>
      <c r="V20">
        <f>(IFERROR(VLOOKUP(O20,'인력 단가표'!A:C,3,0),0)+IFERROR(VLOOKUP(P20,'인력 단가표'!A:C,3,0),0)+IFERROR(VLOOKUP(Q20,'인력 단가표'!A:C,3,0),0))*N20</f>
        <v>67500</v>
      </c>
      <c r="W20">
        <f>IFERROR(SUMIFS('라인별 시간당 손실단가'!C:C,'라인별 시간당 손실단가'!A:A,B20,'라인별 시간당 손실단가'!B:B,C20),0)*M20</f>
        <v>800000</v>
      </c>
      <c r="X20">
        <f t="shared" si="0"/>
        <v>912500</v>
      </c>
      <c r="Y20">
        <v>988.8</v>
      </c>
      <c r="Z20">
        <v>1.5</v>
      </c>
      <c r="AA20" s="2">
        <f t="shared" si="1"/>
        <v>0.99848530748258102</v>
      </c>
      <c r="AB20" t="s">
        <v>41</v>
      </c>
      <c r="AC20" t="s">
        <v>53</v>
      </c>
    </row>
    <row r="21" spans="1:29" x14ac:dyDescent="0.3">
      <c r="A21" s="3">
        <v>45772</v>
      </c>
      <c r="B21" t="s">
        <v>108</v>
      </c>
      <c r="C21" t="s">
        <v>109</v>
      </c>
      <c r="D21" t="s">
        <v>30</v>
      </c>
      <c r="E21" t="s">
        <v>31</v>
      </c>
      <c r="F21" t="s">
        <v>169</v>
      </c>
      <c r="G21" t="s">
        <v>170</v>
      </c>
      <c r="H21" t="s">
        <v>34</v>
      </c>
      <c r="I21" t="s">
        <v>171</v>
      </c>
      <c r="J21" t="s">
        <v>172</v>
      </c>
      <c r="K21" t="s">
        <v>123</v>
      </c>
      <c r="L21" t="s">
        <v>124</v>
      </c>
      <c r="M21">
        <v>3.5</v>
      </c>
      <c r="N21">
        <v>2.5</v>
      </c>
      <c r="O21" t="s">
        <v>134</v>
      </c>
      <c r="R21" t="s">
        <v>125</v>
      </c>
      <c r="S21">
        <v>40</v>
      </c>
      <c r="T21">
        <v>5</v>
      </c>
      <c r="U21">
        <f>IFERROR(VLOOKUP(R21,'부품 리드타임_가격표'!A:C,3,0)*IF(T21&gt;0,T21,1),0)</f>
        <v>25000</v>
      </c>
      <c r="V21">
        <f>(IFERROR(VLOOKUP(O21,'인력 단가표'!A:C,3,0),0)+IFERROR(VLOOKUP(P21,'인력 단가표'!A:C,3,0),0)+IFERROR(VLOOKUP(Q21,'인력 단가표'!A:C,3,0),0))*N21</f>
        <v>137500</v>
      </c>
      <c r="W21">
        <f>IFERROR(SUMIFS('라인별 시간당 손실단가'!C:C,'라인별 시간당 손실단가'!A:A,B21,'라인별 시간당 손실단가'!B:B,C21),0)*M21</f>
        <v>1435000</v>
      </c>
      <c r="X21">
        <f t="shared" si="0"/>
        <v>1597500</v>
      </c>
      <c r="Y21">
        <v>1680</v>
      </c>
      <c r="Z21">
        <v>2.5</v>
      </c>
      <c r="AA21" s="2">
        <f t="shared" si="1"/>
        <v>0.99851411589895989</v>
      </c>
      <c r="AB21" t="s">
        <v>41</v>
      </c>
      <c r="AC21" t="s">
        <v>173</v>
      </c>
    </row>
    <row r="22" spans="1:29" x14ac:dyDescent="0.3">
      <c r="A22" s="3">
        <v>45777</v>
      </c>
      <c r="B22" t="s">
        <v>54</v>
      </c>
      <c r="C22" t="s">
        <v>55</v>
      </c>
      <c r="D22" t="s">
        <v>30</v>
      </c>
      <c r="E22" t="s">
        <v>31</v>
      </c>
      <c r="F22" t="s">
        <v>174</v>
      </c>
      <c r="G22" t="s">
        <v>175</v>
      </c>
      <c r="H22" t="s">
        <v>45</v>
      </c>
      <c r="I22" t="s">
        <v>176</v>
      </c>
      <c r="J22" t="s">
        <v>177</v>
      </c>
      <c r="K22" t="s">
        <v>178</v>
      </c>
      <c r="L22" t="s">
        <v>179</v>
      </c>
      <c r="M22">
        <v>5</v>
      </c>
      <c r="N22">
        <v>3</v>
      </c>
      <c r="O22" t="s">
        <v>98</v>
      </c>
      <c r="R22" t="s">
        <v>52</v>
      </c>
      <c r="S22">
        <v>3</v>
      </c>
      <c r="T22">
        <v>1</v>
      </c>
      <c r="U22">
        <f>IFERROR(VLOOKUP(R22,'부품 리드타임_가격표'!A:C,3,0)*IF(T22&gt;0,T22,1),0)</f>
        <v>620000</v>
      </c>
      <c r="V22">
        <f>(IFERROR(VLOOKUP(O22,'인력 단가표'!A:C,3,0),0)+IFERROR(VLOOKUP(P22,'인력 단가표'!A:C,3,0),0)+IFERROR(VLOOKUP(Q22,'인력 단가표'!A:C,3,0),0))*N22</f>
        <v>135000</v>
      </c>
      <c r="W22">
        <f>IFERROR(SUMIFS('라인별 시간당 손실단가'!C:C,'라인별 시간당 손실단가'!A:A,B22,'라인별 시간당 손실단가'!B:B,C22),0)*M22</f>
        <v>2150000</v>
      </c>
      <c r="X22">
        <f t="shared" si="0"/>
        <v>2905000</v>
      </c>
      <c r="Y22">
        <v>1584</v>
      </c>
      <c r="Z22">
        <v>3</v>
      </c>
      <c r="AA22" s="2">
        <f t="shared" si="1"/>
        <v>0.99810964083175802</v>
      </c>
      <c r="AB22" t="s">
        <v>41</v>
      </c>
      <c r="AC22" t="s">
        <v>53</v>
      </c>
    </row>
    <row r="23" spans="1:29" x14ac:dyDescent="0.3">
      <c r="A23" s="3">
        <v>45783</v>
      </c>
      <c r="B23" t="s">
        <v>80</v>
      </c>
      <c r="C23" t="s">
        <v>81</v>
      </c>
      <c r="D23" t="s">
        <v>30</v>
      </c>
      <c r="E23" t="s">
        <v>31</v>
      </c>
      <c r="F23" t="s">
        <v>180</v>
      </c>
      <c r="G23" t="s">
        <v>181</v>
      </c>
      <c r="H23" t="s">
        <v>34</v>
      </c>
      <c r="I23" t="s">
        <v>182</v>
      </c>
      <c r="J23" t="s">
        <v>183</v>
      </c>
      <c r="K23" t="s">
        <v>184</v>
      </c>
      <c r="L23" t="s">
        <v>185</v>
      </c>
      <c r="M23">
        <v>4</v>
      </c>
      <c r="N23">
        <v>2</v>
      </c>
      <c r="O23" t="s">
        <v>39</v>
      </c>
      <c r="R23" t="s">
        <v>52</v>
      </c>
      <c r="S23">
        <v>4</v>
      </c>
      <c r="T23">
        <v>1</v>
      </c>
      <c r="U23">
        <f>IFERROR(VLOOKUP(R23,'부품 리드타임_가격표'!A:C,3,0)*IF(T23&gt;0,T23,1),0)</f>
        <v>620000</v>
      </c>
      <c r="V23">
        <f>(IFERROR(VLOOKUP(O23,'인력 단가표'!A:C,3,0),0)+IFERROR(VLOOKUP(P23,'인력 단가표'!A:C,3,0),0)+IFERROR(VLOOKUP(Q23,'인력 단가표'!A:C,3,0),0))*N23</f>
        <v>84000</v>
      </c>
      <c r="W23">
        <f>IFERROR(SUMIFS('라인별 시간당 손실단가'!C:C,'라인별 시간당 손실단가'!A:A,B23,'라인별 시간당 손실단가'!B:B,C23),0)*M23</f>
        <v>1600000</v>
      </c>
      <c r="X23">
        <f t="shared" si="0"/>
        <v>2304000</v>
      </c>
      <c r="Y23">
        <v>988.8</v>
      </c>
      <c r="Z23">
        <v>2</v>
      </c>
      <c r="AA23" s="2">
        <f t="shared" si="1"/>
        <v>0.99798142914816312</v>
      </c>
      <c r="AB23" t="s">
        <v>41</v>
      </c>
      <c r="AC23" t="s">
        <v>42</v>
      </c>
    </row>
    <row r="24" spans="1:29" x14ac:dyDescent="0.3">
      <c r="A24" s="3">
        <v>45788</v>
      </c>
      <c r="B24" t="s">
        <v>28</v>
      </c>
      <c r="C24" t="s">
        <v>29</v>
      </c>
      <c r="D24" t="s">
        <v>30</v>
      </c>
      <c r="E24" t="s">
        <v>31</v>
      </c>
      <c r="F24" t="s">
        <v>186</v>
      </c>
      <c r="G24" t="s">
        <v>187</v>
      </c>
      <c r="H24" t="s">
        <v>34</v>
      </c>
      <c r="I24" t="s">
        <v>188</v>
      </c>
      <c r="J24" t="s">
        <v>189</v>
      </c>
      <c r="K24" t="s">
        <v>123</v>
      </c>
      <c r="L24" t="s">
        <v>124</v>
      </c>
      <c r="M24">
        <v>4.5</v>
      </c>
      <c r="N24">
        <v>3</v>
      </c>
      <c r="O24" t="s">
        <v>98</v>
      </c>
      <c r="P24" t="s">
        <v>39</v>
      </c>
      <c r="R24" t="s">
        <v>125</v>
      </c>
      <c r="S24">
        <v>40</v>
      </c>
      <c r="T24">
        <v>1</v>
      </c>
      <c r="U24">
        <f>IFERROR(VLOOKUP(R24,'부품 리드타임_가격표'!A:C,3,0)*IF(T24&gt;0,T24,1),0)</f>
        <v>5000</v>
      </c>
      <c r="V24">
        <f>(IFERROR(VLOOKUP(O24,'인력 단가표'!A:C,3,0),0)+IFERROR(VLOOKUP(P24,'인력 단가표'!A:C,3,0),0)+IFERROR(VLOOKUP(Q24,'인력 단가표'!A:C,3,0),0))*N24</f>
        <v>261000</v>
      </c>
      <c r="W24">
        <f>IFERROR(SUMIFS('라인별 시간당 손실단가'!C:C,'라인별 시간당 손실단가'!A:A,B24,'라인별 시간당 손실단가'!B:B,C24),0)*M24</f>
        <v>2025000</v>
      </c>
      <c r="X24">
        <f t="shared" si="0"/>
        <v>2291000</v>
      </c>
      <c r="Y24">
        <v>1420.8</v>
      </c>
      <c r="Z24">
        <v>3</v>
      </c>
      <c r="AA24" s="2">
        <f t="shared" si="1"/>
        <v>0.99789296249473236</v>
      </c>
      <c r="AB24" t="s">
        <v>78</v>
      </c>
      <c r="AC24" t="s">
        <v>190</v>
      </c>
    </row>
    <row r="25" spans="1:29" x14ac:dyDescent="0.3">
      <c r="A25" s="3">
        <v>45798</v>
      </c>
      <c r="B25" t="s">
        <v>28</v>
      </c>
      <c r="C25" t="s">
        <v>29</v>
      </c>
      <c r="D25" t="s">
        <v>30</v>
      </c>
      <c r="E25" t="s">
        <v>31</v>
      </c>
      <c r="F25" t="s">
        <v>191</v>
      </c>
      <c r="G25" t="s">
        <v>192</v>
      </c>
      <c r="H25" t="s">
        <v>45</v>
      </c>
      <c r="I25" t="s">
        <v>193</v>
      </c>
      <c r="J25" t="s">
        <v>194</v>
      </c>
      <c r="K25" t="s">
        <v>195</v>
      </c>
      <c r="L25" t="s">
        <v>196</v>
      </c>
      <c r="M25">
        <v>7.5</v>
      </c>
      <c r="N25">
        <v>5</v>
      </c>
      <c r="O25" t="s">
        <v>50</v>
      </c>
      <c r="P25" t="s">
        <v>134</v>
      </c>
      <c r="R25" t="s">
        <v>107</v>
      </c>
      <c r="S25">
        <v>2</v>
      </c>
      <c r="T25">
        <v>1</v>
      </c>
      <c r="U25">
        <f>IFERROR(VLOOKUP(R25,'부품 리드타임_가격표'!A:C,3,0)*IF(T25&gt;0,T25,1),0)</f>
        <v>980000</v>
      </c>
      <c r="V25">
        <f>(IFERROR(VLOOKUP(O25,'인력 단가표'!A:C,3,0),0)+IFERROR(VLOOKUP(P25,'인력 단가표'!A:C,3,0),0)+IFERROR(VLOOKUP(Q25,'인력 단가표'!A:C,3,0),0))*N25</f>
        <v>515000</v>
      </c>
      <c r="W25">
        <f>IFERROR(SUMIFS('라인별 시간당 손실단가'!C:C,'라인별 시간당 손실단가'!A:A,B25,'라인별 시간당 손실단가'!B:B,C25),0)*M25</f>
        <v>3375000</v>
      </c>
      <c r="X25">
        <f t="shared" si="0"/>
        <v>4870000</v>
      </c>
      <c r="Y25">
        <v>1420.8</v>
      </c>
      <c r="Z25">
        <v>5</v>
      </c>
      <c r="AA25" s="2">
        <f t="shared" si="1"/>
        <v>0.99649319680179549</v>
      </c>
      <c r="AB25" t="s">
        <v>41</v>
      </c>
      <c r="AC25" t="s">
        <v>53</v>
      </c>
    </row>
    <row r="26" spans="1:29" x14ac:dyDescent="0.3">
      <c r="A26" s="3">
        <v>45804</v>
      </c>
      <c r="B26" t="s">
        <v>80</v>
      </c>
      <c r="C26" t="s">
        <v>81</v>
      </c>
      <c r="D26" t="s">
        <v>30</v>
      </c>
      <c r="E26" t="s">
        <v>31</v>
      </c>
      <c r="F26" t="s">
        <v>197</v>
      </c>
      <c r="G26" t="s">
        <v>198</v>
      </c>
      <c r="H26" t="s">
        <v>45</v>
      </c>
      <c r="I26" t="s">
        <v>199</v>
      </c>
      <c r="J26" t="s">
        <v>200</v>
      </c>
      <c r="K26" t="s">
        <v>201</v>
      </c>
      <c r="L26" t="s">
        <v>202</v>
      </c>
      <c r="M26">
        <v>3</v>
      </c>
      <c r="N26">
        <v>2</v>
      </c>
      <c r="O26" t="s">
        <v>134</v>
      </c>
      <c r="P26" t="s">
        <v>50</v>
      </c>
      <c r="R26" t="s">
        <v>52</v>
      </c>
      <c r="S26">
        <v>3</v>
      </c>
      <c r="T26">
        <v>1</v>
      </c>
      <c r="U26">
        <f>IFERROR(VLOOKUP(R26,'부품 리드타임_가격표'!A:C,3,0)*IF(T26&gt;0,T26,1),0)</f>
        <v>620000</v>
      </c>
      <c r="V26">
        <f>(IFERROR(VLOOKUP(O26,'인력 단가표'!A:C,3,0),0)+IFERROR(VLOOKUP(P26,'인력 단가표'!A:C,3,0),0)+IFERROR(VLOOKUP(Q26,'인력 단가표'!A:C,3,0),0))*N26</f>
        <v>206000</v>
      </c>
      <c r="W26">
        <f>IFERROR(SUMIFS('라인별 시간당 손실단가'!C:C,'라인별 시간당 손실단가'!A:A,B26,'라인별 시간당 손실단가'!B:B,C26),0)*M26</f>
        <v>1200000</v>
      </c>
      <c r="X26">
        <f t="shared" si="0"/>
        <v>2026000</v>
      </c>
      <c r="Y26">
        <v>988.8</v>
      </c>
      <c r="Z26">
        <v>2</v>
      </c>
      <c r="AA26" s="2">
        <f t="shared" si="1"/>
        <v>0.99798142914816312</v>
      </c>
      <c r="AB26" t="s">
        <v>78</v>
      </c>
      <c r="AC26" t="s">
        <v>203</v>
      </c>
    </row>
    <row r="27" spans="1:29" x14ac:dyDescent="0.3">
      <c r="A27" s="3">
        <v>45815</v>
      </c>
      <c r="B27" t="s">
        <v>54</v>
      </c>
      <c r="C27" t="s">
        <v>55</v>
      </c>
      <c r="D27" t="s">
        <v>30</v>
      </c>
      <c r="E27" t="s">
        <v>31</v>
      </c>
      <c r="F27" t="s">
        <v>204</v>
      </c>
      <c r="G27" t="s">
        <v>198</v>
      </c>
      <c r="H27" t="s">
        <v>45</v>
      </c>
      <c r="I27" t="s">
        <v>205</v>
      </c>
      <c r="J27" t="s">
        <v>206</v>
      </c>
      <c r="K27" t="s">
        <v>201</v>
      </c>
      <c r="L27" t="s">
        <v>202</v>
      </c>
      <c r="M27">
        <v>5.5</v>
      </c>
      <c r="N27">
        <v>3.5</v>
      </c>
      <c r="O27" t="s">
        <v>50</v>
      </c>
      <c r="R27" t="s">
        <v>52</v>
      </c>
      <c r="S27">
        <v>3</v>
      </c>
      <c r="T27">
        <v>1</v>
      </c>
      <c r="U27">
        <f>IFERROR(VLOOKUP(R27,'부품 리드타임_가격표'!A:C,3,0)*IF(T27&gt;0,T27,1),0)</f>
        <v>620000</v>
      </c>
      <c r="V27">
        <f>(IFERROR(VLOOKUP(O27,'인력 단가표'!A:C,3,0),0)+IFERROR(VLOOKUP(P27,'인력 단가표'!A:C,3,0),0)+IFERROR(VLOOKUP(Q27,'인력 단가표'!A:C,3,0),0))*N27</f>
        <v>168000</v>
      </c>
      <c r="W27">
        <f>IFERROR(SUMIFS('라인별 시간당 손실단가'!C:C,'라인별 시간당 손실단가'!A:A,B27,'라인별 시간당 손실단가'!B:B,C27),0)*M27</f>
        <v>2365000</v>
      </c>
      <c r="X27">
        <f t="shared" si="0"/>
        <v>3153000</v>
      </c>
      <c r="Y27">
        <v>1584</v>
      </c>
      <c r="Z27">
        <v>3.5</v>
      </c>
      <c r="AA27" s="2">
        <f t="shared" si="1"/>
        <v>0.99779527559055115</v>
      </c>
      <c r="AB27" t="s">
        <v>41</v>
      </c>
      <c r="AC27" t="s">
        <v>53</v>
      </c>
    </row>
    <row r="28" spans="1:29" x14ac:dyDescent="0.3">
      <c r="A28" s="3">
        <v>45833</v>
      </c>
      <c r="B28" t="s">
        <v>108</v>
      </c>
      <c r="C28" t="s">
        <v>109</v>
      </c>
      <c r="D28" t="s">
        <v>30</v>
      </c>
      <c r="E28" t="s">
        <v>31</v>
      </c>
      <c r="F28" t="s">
        <v>191</v>
      </c>
      <c r="G28" t="s">
        <v>192</v>
      </c>
      <c r="H28" t="s">
        <v>45</v>
      </c>
      <c r="I28" t="s">
        <v>193</v>
      </c>
      <c r="J28" t="s">
        <v>194</v>
      </c>
      <c r="K28" t="s">
        <v>195</v>
      </c>
      <c r="L28" t="s">
        <v>196</v>
      </c>
      <c r="M28">
        <v>6.5</v>
      </c>
      <c r="N28">
        <v>4.5</v>
      </c>
      <c r="O28" t="s">
        <v>88</v>
      </c>
      <c r="R28" t="s">
        <v>107</v>
      </c>
      <c r="S28">
        <v>2</v>
      </c>
      <c r="T28">
        <v>1</v>
      </c>
      <c r="U28">
        <f>IFERROR(VLOOKUP(R28,'부품 리드타임_가격표'!A:C,3,0)*IF(T28&gt;0,T28,1),0)</f>
        <v>980000</v>
      </c>
      <c r="V28">
        <f>(IFERROR(VLOOKUP(O28,'인력 단가표'!A:C,3,0),0)+IFERROR(VLOOKUP(P28,'인력 단가표'!A:C,3,0),0)+IFERROR(VLOOKUP(Q28,'인력 단가표'!A:C,3,0),0))*N28</f>
        <v>0</v>
      </c>
      <c r="W28">
        <f>IFERROR(SUMIFS('라인별 시간당 손실단가'!C:C,'라인별 시간당 손실단가'!A:A,B28,'라인별 시간당 손실단가'!B:B,C28),0)*M28</f>
        <v>2665000</v>
      </c>
      <c r="X28">
        <f t="shared" si="0"/>
        <v>3645000</v>
      </c>
      <c r="Y28">
        <v>1680</v>
      </c>
      <c r="Z28">
        <v>4.5</v>
      </c>
      <c r="AA28" s="2">
        <f t="shared" si="1"/>
        <v>0.99732858414959924</v>
      </c>
      <c r="AB28" t="s">
        <v>41</v>
      </c>
      <c r="AC28" t="s">
        <v>53</v>
      </c>
    </row>
    <row r="29" spans="1:29" x14ac:dyDescent="0.3">
      <c r="A29" s="3">
        <v>45847</v>
      </c>
      <c r="B29" t="s">
        <v>28</v>
      </c>
      <c r="C29" t="s">
        <v>29</v>
      </c>
      <c r="D29" t="s">
        <v>30</v>
      </c>
      <c r="E29" t="s">
        <v>31</v>
      </c>
      <c r="F29" t="s">
        <v>101</v>
      </c>
      <c r="G29" t="s">
        <v>102</v>
      </c>
      <c r="H29" t="s">
        <v>45</v>
      </c>
      <c r="I29" t="s">
        <v>128</v>
      </c>
      <c r="J29" t="s">
        <v>129</v>
      </c>
      <c r="K29" t="s">
        <v>105</v>
      </c>
      <c r="L29" t="s">
        <v>106</v>
      </c>
      <c r="M29">
        <v>3</v>
      </c>
      <c r="N29">
        <v>2</v>
      </c>
      <c r="O29" t="s">
        <v>98</v>
      </c>
      <c r="R29" t="s">
        <v>107</v>
      </c>
      <c r="S29">
        <v>2</v>
      </c>
      <c r="T29">
        <v>1</v>
      </c>
      <c r="U29">
        <f>IFERROR(VLOOKUP(R29,'부품 리드타임_가격표'!A:C,3,0)*IF(T29&gt;0,T29,1),0)</f>
        <v>980000</v>
      </c>
      <c r="V29">
        <f>(IFERROR(VLOOKUP(O29,'인력 단가표'!A:C,3,0),0)+IFERROR(VLOOKUP(P29,'인력 단가표'!A:C,3,0),0)+IFERROR(VLOOKUP(Q29,'인력 단가표'!A:C,3,0),0))*N29</f>
        <v>90000</v>
      </c>
      <c r="W29">
        <f>IFERROR(SUMIFS('라인별 시간당 손실단가'!C:C,'라인별 시간당 손실단가'!A:A,B29,'라인별 시간당 손실단가'!B:B,C29),0)*M29</f>
        <v>1350000</v>
      </c>
      <c r="X29">
        <f t="shared" si="0"/>
        <v>2420000</v>
      </c>
      <c r="Y29">
        <v>1420.8</v>
      </c>
      <c r="Z29">
        <v>2</v>
      </c>
      <c r="AA29" s="2">
        <f t="shared" si="1"/>
        <v>0.99859432105707058</v>
      </c>
      <c r="AB29" t="s">
        <v>41</v>
      </c>
      <c r="AC29" t="s">
        <v>53</v>
      </c>
    </row>
    <row r="30" spans="1:29" x14ac:dyDescent="0.3">
      <c r="A30" s="3">
        <v>45862</v>
      </c>
      <c r="B30" t="s">
        <v>80</v>
      </c>
      <c r="C30" t="s">
        <v>81</v>
      </c>
      <c r="D30" t="s">
        <v>30</v>
      </c>
      <c r="E30" t="s">
        <v>31</v>
      </c>
      <c r="F30" t="s">
        <v>126</v>
      </c>
      <c r="G30" t="s">
        <v>127</v>
      </c>
      <c r="H30" t="s">
        <v>45</v>
      </c>
      <c r="I30" t="s">
        <v>128</v>
      </c>
      <c r="J30" t="s">
        <v>129</v>
      </c>
      <c r="K30" t="s">
        <v>130</v>
      </c>
      <c r="L30" t="s">
        <v>131</v>
      </c>
      <c r="M30">
        <v>2.5</v>
      </c>
      <c r="N30">
        <v>1.5</v>
      </c>
      <c r="O30" t="s">
        <v>39</v>
      </c>
      <c r="R30" t="s">
        <v>107</v>
      </c>
      <c r="S30">
        <v>2</v>
      </c>
      <c r="T30">
        <v>1</v>
      </c>
      <c r="U30">
        <f>IFERROR(VLOOKUP(R30,'부품 리드타임_가격표'!A:C,3,0)*IF(T30&gt;0,T30,1),0)</f>
        <v>980000</v>
      </c>
      <c r="V30">
        <f>(IFERROR(VLOOKUP(O30,'인력 단가표'!A:C,3,0),0)+IFERROR(VLOOKUP(P30,'인력 단가표'!A:C,3,0),0)+IFERROR(VLOOKUP(Q30,'인력 단가표'!A:C,3,0),0))*N30</f>
        <v>63000</v>
      </c>
      <c r="W30">
        <f>IFERROR(SUMIFS('라인별 시간당 손실단가'!C:C,'라인별 시간당 손실단가'!A:A,B30,'라인별 시간당 손실단가'!B:B,C30),0)*M30</f>
        <v>1000000</v>
      </c>
      <c r="X30">
        <f t="shared" si="0"/>
        <v>2043000</v>
      </c>
      <c r="Y30">
        <v>988.8</v>
      </c>
      <c r="Z30">
        <v>1.5</v>
      </c>
      <c r="AA30" s="2">
        <f t="shared" si="1"/>
        <v>0.99848530748258102</v>
      </c>
      <c r="AB30" t="s">
        <v>41</v>
      </c>
      <c r="AC30" t="s">
        <v>53</v>
      </c>
    </row>
    <row r="31" spans="1:29" x14ac:dyDescent="0.3">
      <c r="A31" s="3">
        <v>45874</v>
      </c>
      <c r="B31" t="s">
        <v>80</v>
      </c>
      <c r="C31" t="s">
        <v>81</v>
      </c>
      <c r="D31" t="s">
        <v>30</v>
      </c>
      <c r="E31" t="s">
        <v>31</v>
      </c>
      <c r="F31" t="s">
        <v>186</v>
      </c>
      <c r="G31" t="s">
        <v>187</v>
      </c>
      <c r="H31" t="s">
        <v>34</v>
      </c>
      <c r="I31" t="s">
        <v>207</v>
      </c>
      <c r="J31" t="s">
        <v>208</v>
      </c>
      <c r="K31" t="s">
        <v>123</v>
      </c>
      <c r="L31" t="s">
        <v>124</v>
      </c>
      <c r="M31">
        <v>3</v>
      </c>
      <c r="N31">
        <v>2</v>
      </c>
      <c r="O31" t="s">
        <v>134</v>
      </c>
      <c r="R31" t="s">
        <v>125</v>
      </c>
      <c r="S31">
        <v>40</v>
      </c>
      <c r="T31">
        <v>6</v>
      </c>
      <c r="U31">
        <f>IFERROR(VLOOKUP(R31,'부품 리드타임_가격표'!A:C,3,0)*IF(T31&gt;0,T31,1),0)</f>
        <v>30000</v>
      </c>
      <c r="V31">
        <f>(IFERROR(VLOOKUP(O31,'인력 단가표'!A:C,3,0),0)+IFERROR(VLOOKUP(P31,'인력 단가표'!A:C,3,0),0)+IFERROR(VLOOKUP(Q31,'인력 단가표'!A:C,3,0),0))*N31</f>
        <v>110000</v>
      </c>
      <c r="W31">
        <f>IFERROR(SUMIFS('라인별 시간당 손실단가'!C:C,'라인별 시간당 손실단가'!A:A,B31,'라인별 시간당 손실단가'!B:B,C31),0)*M31</f>
        <v>1200000</v>
      </c>
      <c r="X31">
        <f t="shared" si="0"/>
        <v>1340000</v>
      </c>
      <c r="Y31">
        <v>988.8</v>
      </c>
      <c r="Z31">
        <v>2</v>
      </c>
      <c r="AA31" s="2">
        <f t="shared" si="1"/>
        <v>0.99798142914816312</v>
      </c>
      <c r="AB31" t="s">
        <v>41</v>
      </c>
      <c r="AC31" t="s">
        <v>173</v>
      </c>
    </row>
    <row r="32" spans="1:29" x14ac:dyDescent="0.3">
      <c r="A32" s="3">
        <v>45881</v>
      </c>
      <c r="B32" t="s">
        <v>54</v>
      </c>
      <c r="C32" t="s">
        <v>55</v>
      </c>
      <c r="D32" t="s">
        <v>30</v>
      </c>
      <c r="E32" t="s">
        <v>31</v>
      </c>
      <c r="F32" t="s">
        <v>119</v>
      </c>
      <c r="G32" t="s">
        <v>120</v>
      </c>
      <c r="H32" t="s">
        <v>34</v>
      </c>
      <c r="I32" t="s">
        <v>209</v>
      </c>
      <c r="J32" t="s">
        <v>122</v>
      </c>
      <c r="K32" t="s">
        <v>123</v>
      </c>
      <c r="L32" t="s">
        <v>124</v>
      </c>
      <c r="M32">
        <v>4</v>
      </c>
      <c r="N32">
        <v>2.5</v>
      </c>
      <c r="O32" t="s">
        <v>134</v>
      </c>
      <c r="R32" t="s">
        <v>125</v>
      </c>
      <c r="S32">
        <v>40</v>
      </c>
      <c r="T32">
        <v>1</v>
      </c>
      <c r="U32">
        <f>IFERROR(VLOOKUP(R32,'부품 리드타임_가격표'!A:C,3,0)*IF(T32&gt;0,T32,1),0)</f>
        <v>5000</v>
      </c>
      <c r="V32">
        <f>(IFERROR(VLOOKUP(O32,'인력 단가표'!A:C,3,0),0)+IFERROR(VLOOKUP(P32,'인력 단가표'!A:C,3,0),0)+IFERROR(VLOOKUP(Q32,'인력 단가표'!A:C,3,0),0))*N32</f>
        <v>137500</v>
      </c>
      <c r="W32">
        <f>IFERROR(SUMIFS('라인별 시간당 손실단가'!C:C,'라인별 시간당 손실단가'!A:A,B32,'라인별 시간당 손실단가'!B:B,C32),0)*M32</f>
        <v>1720000</v>
      </c>
      <c r="X32">
        <f t="shared" si="0"/>
        <v>1862500</v>
      </c>
      <c r="Y32">
        <v>1584</v>
      </c>
      <c r="Z32">
        <v>2.5</v>
      </c>
      <c r="AA32" s="2">
        <f t="shared" si="1"/>
        <v>0.99842420422313272</v>
      </c>
      <c r="AB32" t="s">
        <v>41</v>
      </c>
      <c r="AC32" t="s">
        <v>53</v>
      </c>
    </row>
    <row r="33" spans="1:29" x14ac:dyDescent="0.3">
      <c r="A33" s="3">
        <v>45897</v>
      </c>
      <c r="B33" t="s">
        <v>108</v>
      </c>
      <c r="C33" t="s">
        <v>109</v>
      </c>
      <c r="D33" t="s">
        <v>30</v>
      </c>
      <c r="E33" t="s">
        <v>31</v>
      </c>
      <c r="F33" t="s">
        <v>162</v>
      </c>
      <c r="G33" t="s">
        <v>163</v>
      </c>
      <c r="H33" t="s">
        <v>93</v>
      </c>
      <c r="I33" t="s">
        <v>210</v>
      </c>
      <c r="J33" t="s">
        <v>211</v>
      </c>
      <c r="K33" t="s">
        <v>166</v>
      </c>
      <c r="L33" t="s">
        <v>167</v>
      </c>
      <c r="M33">
        <v>3.5</v>
      </c>
      <c r="N33">
        <v>2</v>
      </c>
      <c r="O33" t="s">
        <v>50</v>
      </c>
      <c r="P33" t="s">
        <v>88</v>
      </c>
      <c r="R33" t="s">
        <v>168</v>
      </c>
      <c r="S33">
        <v>12</v>
      </c>
      <c r="T33">
        <v>1</v>
      </c>
      <c r="U33">
        <f>IFERROR(VLOOKUP(R33,'부품 리드타임_가격표'!A:C,3,0)*IF(T33&gt;0,T33,1),0)</f>
        <v>45000</v>
      </c>
      <c r="V33">
        <f>(IFERROR(VLOOKUP(O33,'인력 단가표'!A:C,3,0),0)+IFERROR(VLOOKUP(P33,'인력 단가표'!A:C,3,0),0)+IFERROR(VLOOKUP(Q33,'인력 단가표'!A:C,3,0),0))*N33</f>
        <v>96000</v>
      </c>
      <c r="W33">
        <f>IFERROR(SUMIFS('라인별 시간당 손실단가'!C:C,'라인별 시간당 손실단가'!A:A,B33,'라인별 시간당 손실단가'!B:B,C33),0)*M33</f>
        <v>1435000</v>
      </c>
      <c r="X33">
        <f t="shared" si="0"/>
        <v>1576000</v>
      </c>
      <c r="Y33">
        <v>1680</v>
      </c>
      <c r="Z33">
        <v>2</v>
      </c>
      <c r="AA33" s="2">
        <f t="shared" si="1"/>
        <v>0.99881093935790721</v>
      </c>
      <c r="AB33" t="s">
        <v>41</v>
      </c>
      <c r="AC33" t="s">
        <v>53</v>
      </c>
    </row>
    <row r="34" spans="1:29" x14ac:dyDescent="0.3">
      <c r="A34" s="3">
        <v>45912</v>
      </c>
      <c r="B34" t="s">
        <v>28</v>
      </c>
      <c r="C34" t="s">
        <v>29</v>
      </c>
      <c r="D34" t="s">
        <v>30</v>
      </c>
      <c r="E34" t="s">
        <v>31</v>
      </c>
      <c r="F34" t="s">
        <v>151</v>
      </c>
      <c r="G34" t="s">
        <v>152</v>
      </c>
      <c r="H34" t="s">
        <v>64</v>
      </c>
      <c r="I34" t="s">
        <v>153</v>
      </c>
      <c r="J34" t="s">
        <v>212</v>
      </c>
      <c r="K34" t="s">
        <v>213</v>
      </c>
      <c r="L34" t="s">
        <v>214</v>
      </c>
      <c r="M34">
        <v>6</v>
      </c>
      <c r="N34">
        <v>3.5</v>
      </c>
      <c r="O34" t="s">
        <v>50</v>
      </c>
      <c r="P34" t="s">
        <v>98</v>
      </c>
      <c r="R34" t="s">
        <v>77</v>
      </c>
      <c r="S34">
        <v>6</v>
      </c>
      <c r="T34">
        <v>1</v>
      </c>
      <c r="U34">
        <f>IFERROR(VLOOKUP(R34,'부품 리드타임_가격표'!A:C,3,0)*IF(T34&gt;0,T34,1),0)</f>
        <v>210000</v>
      </c>
      <c r="V34">
        <f>(IFERROR(VLOOKUP(O34,'인력 단가표'!A:C,3,0),0)+IFERROR(VLOOKUP(P34,'인력 단가표'!A:C,3,0),0)+IFERROR(VLOOKUP(Q34,'인력 단가표'!A:C,3,0),0))*N34</f>
        <v>325500</v>
      </c>
      <c r="W34">
        <f>IFERROR(SUMIFS('라인별 시간당 손실단가'!C:C,'라인별 시간당 손실단가'!A:A,B34,'라인별 시간당 손실단가'!B:B,C34),0)*M34</f>
        <v>2700000</v>
      </c>
      <c r="X34">
        <f t="shared" si="0"/>
        <v>3235500</v>
      </c>
      <c r="Y34">
        <v>1420.8</v>
      </c>
      <c r="Z34">
        <v>3.5</v>
      </c>
      <c r="AA34" s="2">
        <f t="shared" si="1"/>
        <v>0.99754265253106789</v>
      </c>
      <c r="AB34" t="s">
        <v>41</v>
      </c>
      <c r="AC34" t="s">
        <v>158</v>
      </c>
    </row>
    <row r="35" spans="1:29" x14ac:dyDescent="0.3">
      <c r="A35" s="3">
        <v>45916</v>
      </c>
      <c r="B35" t="s">
        <v>80</v>
      </c>
      <c r="C35" t="s">
        <v>81</v>
      </c>
      <c r="D35" t="s">
        <v>30</v>
      </c>
      <c r="E35" t="s">
        <v>31</v>
      </c>
      <c r="F35" t="s">
        <v>82</v>
      </c>
      <c r="G35" t="s">
        <v>83</v>
      </c>
      <c r="H35" t="s">
        <v>45</v>
      </c>
      <c r="I35" t="s">
        <v>215</v>
      </c>
      <c r="J35" t="s">
        <v>216</v>
      </c>
      <c r="K35" t="s">
        <v>86</v>
      </c>
      <c r="L35" t="s">
        <v>87</v>
      </c>
      <c r="M35">
        <v>8</v>
      </c>
      <c r="N35">
        <v>5.5</v>
      </c>
      <c r="O35" t="s">
        <v>134</v>
      </c>
      <c r="P35" t="s">
        <v>51</v>
      </c>
      <c r="R35" t="s">
        <v>89</v>
      </c>
      <c r="S35">
        <v>1</v>
      </c>
      <c r="T35">
        <v>0</v>
      </c>
      <c r="U35">
        <f>IFERROR(VLOOKUP(R35,'부품 리드타임_가격표'!A:C,3,0)*IF(T35&gt;0,T35,1),0)</f>
        <v>950000</v>
      </c>
      <c r="V35">
        <f>(IFERROR(VLOOKUP(O35,'인력 단가표'!A:C,3,0),0)+IFERROR(VLOOKUP(P35,'인력 단가표'!A:C,3,0),0)+IFERROR(VLOOKUP(Q35,'인력 단가표'!A:C,3,0),0))*N35</f>
        <v>588500</v>
      </c>
      <c r="W35">
        <f>IFERROR(SUMIFS('라인별 시간당 손실단가'!C:C,'라인별 시간당 손실단가'!A:A,B35,'라인별 시간당 손실단가'!B:B,C35),0)*M35</f>
        <v>3200000</v>
      </c>
      <c r="X35">
        <f t="shared" si="0"/>
        <v>4738500</v>
      </c>
      <c r="Y35">
        <v>988.8</v>
      </c>
      <c r="Z35">
        <v>5.5</v>
      </c>
      <c r="AA35" s="2">
        <f t="shared" si="1"/>
        <v>0.99446847028059937</v>
      </c>
      <c r="AB35" t="s">
        <v>41</v>
      </c>
      <c r="AC35" t="s">
        <v>70</v>
      </c>
    </row>
    <row r="36" spans="1:29" x14ac:dyDescent="0.3">
      <c r="A36" s="3">
        <v>45927</v>
      </c>
      <c r="B36" t="s">
        <v>80</v>
      </c>
      <c r="C36" t="s">
        <v>81</v>
      </c>
      <c r="D36" t="s">
        <v>30</v>
      </c>
      <c r="E36" t="s">
        <v>31</v>
      </c>
      <c r="F36" t="s">
        <v>32</v>
      </c>
      <c r="G36" t="s">
        <v>217</v>
      </c>
      <c r="H36" t="s">
        <v>34</v>
      </c>
      <c r="I36" t="s">
        <v>35</v>
      </c>
      <c r="J36" t="s">
        <v>36</v>
      </c>
      <c r="K36" t="s">
        <v>37</v>
      </c>
      <c r="L36" t="s">
        <v>38</v>
      </c>
      <c r="M36">
        <v>2</v>
      </c>
      <c r="N36">
        <v>1.5</v>
      </c>
      <c r="O36" t="s">
        <v>88</v>
      </c>
      <c r="P36" t="s">
        <v>134</v>
      </c>
      <c r="R36" t="s">
        <v>40</v>
      </c>
      <c r="S36">
        <v>25</v>
      </c>
      <c r="T36">
        <v>1</v>
      </c>
      <c r="U36">
        <f>IFERROR(VLOOKUP(R36,'부품 리드타임_가격표'!A:C,3,0)*IF(T36&gt;0,T36,1),0)</f>
        <v>25000</v>
      </c>
      <c r="V36">
        <f>(IFERROR(VLOOKUP(O36,'인력 단가표'!A:C,3,0),0)+IFERROR(VLOOKUP(P36,'인력 단가표'!A:C,3,0),0)+IFERROR(VLOOKUP(Q36,'인력 단가표'!A:C,3,0),0))*N36</f>
        <v>82500</v>
      </c>
      <c r="W36">
        <f>IFERROR(SUMIFS('라인별 시간당 손실단가'!C:C,'라인별 시간당 손실단가'!A:A,B36,'라인별 시간당 손실단가'!B:B,C36),0)*M36</f>
        <v>800000</v>
      </c>
      <c r="X36">
        <f t="shared" si="0"/>
        <v>907500</v>
      </c>
      <c r="Y36">
        <v>988.8</v>
      </c>
      <c r="Z36">
        <v>1.5</v>
      </c>
      <c r="AA36" s="2">
        <f t="shared" si="1"/>
        <v>0.99848530748258102</v>
      </c>
      <c r="AB36" t="s">
        <v>41</v>
      </c>
      <c r="AC36" t="s">
        <v>42</v>
      </c>
    </row>
    <row r="37" spans="1:29" x14ac:dyDescent="0.3">
      <c r="A37" s="3">
        <v>45937</v>
      </c>
      <c r="B37" t="s">
        <v>54</v>
      </c>
      <c r="C37" t="s">
        <v>55</v>
      </c>
      <c r="D37" t="s">
        <v>30</v>
      </c>
      <c r="E37" t="s">
        <v>31</v>
      </c>
      <c r="F37" t="s">
        <v>204</v>
      </c>
      <c r="G37" t="s">
        <v>198</v>
      </c>
      <c r="H37" t="s">
        <v>45</v>
      </c>
      <c r="I37" t="s">
        <v>205</v>
      </c>
      <c r="J37" t="s">
        <v>206</v>
      </c>
      <c r="K37" t="s">
        <v>201</v>
      </c>
      <c r="L37" t="s">
        <v>202</v>
      </c>
      <c r="M37">
        <v>6</v>
      </c>
      <c r="N37">
        <v>4</v>
      </c>
      <c r="O37" t="s">
        <v>51</v>
      </c>
      <c r="P37" t="s">
        <v>39</v>
      </c>
      <c r="R37" t="s">
        <v>52</v>
      </c>
      <c r="S37">
        <v>3</v>
      </c>
      <c r="T37">
        <v>1</v>
      </c>
      <c r="U37">
        <f>IFERROR(VLOOKUP(R37,'부품 리드타임_가격표'!A:C,3,0)*IF(T37&gt;0,T37,1),0)</f>
        <v>620000</v>
      </c>
      <c r="V37">
        <f>(IFERROR(VLOOKUP(O37,'인력 단가표'!A:C,3,0),0)+IFERROR(VLOOKUP(P37,'인력 단가표'!A:C,3,0),0)+IFERROR(VLOOKUP(Q37,'인력 단가표'!A:C,3,0),0))*N37</f>
        <v>376000</v>
      </c>
      <c r="W37">
        <f>IFERROR(SUMIFS('라인별 시간당 손실단가'!C:C,'라인별 시간당 손실단가'!A:A,B37,'라인별 시간당 손실단가'!B:B,C37),0)*M37</f>
        <v>2580000</v>
      </c>
      <c r="X37">
        <f t="shared" si="0"/>
        <v>3576000</v>
      </c>
      <c r="Y37">
        <v>1584</v>
      </c>
      <c r="Z37">
        <v>4</v>
      </c>
      <c r="AA37" s="2">
        <f t="shared" si="1"/>
        <v>0.9974811083123426</v>
      </c>
      <c r="AB37" t="s">
        <v>41</v>
      </c>
      <c r="AC37" t="s">
        <v>53</v>
      </c>
    </row>
    <row r="38" spans="1:29" x14ac:dyDescent="0.3">
      <c r="A38" s="3">
        <v>45945</v>
      </c>
      <c r="B38" t="s">
        <v>28</v>
      </c>
      <c r="C38" t="s">
        <v>29</v>
      </c>
      <c r="D38" t="s">
        <v>30</v>
      </c>
      <c r="E38" t="s">
        <v>31</v>
      </c>
      <c r="F38" t="s">
        <v>91</v>
      </c>
      <c r="G38" t="s">
        <v>92</v>
      </c>
      <c r="H38" t="s">
        <v>93</v>
      </c>
      <c r="I38" t="s">
        <v>218</v>
      </c>
      <c r="J38" t="s">
        <v>219</v>
      </c>
      <c r="K38" t="s">
        <v>96</v>
      </c>
      <c r="L38" t="s">
        <v>97</v>
      </c>
      <c r="M38">
        <v>3</v>
      </c>
      <c r="N38">
        <v>2</v>
      </c>
      <c r="O38" t="s">
        <v>134</v>
      </c>
      <c r="R38" t="s">
        <v>99</v>
      </c>
      <c r="S38">
        <v>8</v>
      </c>
      <c r="T38">
        <v>1</v>
      </c>
      <c r="U38">
        <f>IFERROR(VLOOKUP(R38,'부품 리드타임_가격표'!A:C,3,0)*IF(T38&gt;0,T38,1),0)</f>
        <v>120000</v>
      </c>
      <c r="V38">
        <f>(IFERROR(VLOOKUP(O38,'인력 단가표'!A:C,3,0),0)+IFERROR(VLOOKUP(P38,'인력 단가표'!A:C,3,0),0)+IFERROR(VLOOKUP(Q38,'인력 단가표'!A:C,3,0),0))*N38</f>
        <v>110000</v>
      </c>
      <c r="W38">
        <f>IFERROR(SUMIFS('라인별 시간당 손실단가'!C:C,'라인별 시간당 손실단가'!A:A,B38,'라인별 시간당 손실단가'!B:B,C38),0)*M38</f>
        <v>1350000</v>
      </c>
      <c r="X38">
        <f t="shared" si="0"/>
        <v>1580000</v>
      </c>
      <c r="Y38">
        <v>1420.8</v>
      </c>
      <c r="Z38">
        <v>2</v>
      </c>
      <c r="AA38" s="2">
        <f t="shared" si="1"/>
        <v>0.99859432105707058</v>
      </c>
      <c r="AB38" t="s">
        <v>41</v>
      </c>
      <c r="AC38" t="s">
        <v>53</v>
      </c>
    </row>
    <row r="39" spans="1:29" x14ac:dyDescent="0.3">
      <c r="A39" s="3">
        <v>45960</v>
      </c>
      <c r="B39" t="s">
        <v>108</v>
      </c>
      <c r="C39" t="s">
        <v>109</v>
      </c>
      <c r="D39" t="s">
        <v>30</v>
      </c>
      <c r="E39" t="s">
        <v>31</v>
      </c>
      <c r="F39" t="s">
        <v>71</v>
      </c>
      <c r="G39" t="s">
        <v>72</v>
      </c>
      <c r="H39" t="s">
        <v>64</v>
      </c>
      <c r="I39" t="s">
        <v>220</v>
      </c>
      <c r="J39" t="s">
        <v>221</v>
      </c>
      <c r="K39" t="s">
        <v>75</v>
      </c>
      <c r="L39" t="s">
        <v>76</v>
      </c>
      <c r="M39">
        <v>4</v>
      </c>
      <c r="N39">
        <v>3</v>
      </c>
      <c r="O39" t="s">
        <v>98</v>
      </c>
      <c r="R39" t="s">
        <v>77</v>
      </c>
      <c r="S39">
        <v>6</v>
      </c>
      <c r="T39">
        <v>1</v>
      </c>
      <c r="U39">
        <f>IFERROR(VLOOKUP(R39,'부품 리드타임_가격표'!A:C,3,0)*IF(T39&gt;0,T39,1),0)</f>
        <v>210000</v>
      </c>
      <c r="V39">
        <f>(IFERROR(VLOOKUP(O39,'인력 단가표'!A:C,3,0),0)+IFERROR(VLOOKUP(P39,'인력 단가표'!A:C,3,0),0)+IFERROR(VLOOKUP(Q39,'인력 단가표'!A:C,3,0),0))*N39</f>
        <v>135000</v>
      </c>
      <c r="W39">
        <f>IFERROR(SUMIFS('라인별 시간당 손실단가'!C:C,'라인별 시간당 손실단가'!A:A,B39,'라인별 시간당 손실단가'!B:B,C39),0)*M39</f>
        <v>1640000</v>
      </c>
      <c r="X39">
        <f t="shared" si="0"/>
        <v>1985000</v>
      </c>
      <c r="Y39">
        <v>1680</v>
      </c>
      <c r="Z39">
        <v>3</v>
      </c>
      <c r="AA39" s="2">
        <f t="shared" si="1"/>
        <v>0.99821746880570406</v>
      </c>
      <c r="AB39" t="s">
        <v>41</v>
      </c>
      <c r="AC39" t="s">
        <v>222</v>
      </c>
    </row>
    <row r="40" spans="1:29" x14ac:dyDescent="0.3">
      <c r="A40" s="3">
        <v>45966</v>
      </c>
      <c r="B40" t="s">
        <v>28</v>
      </c>
      <c r="C40" t="s">
        <v>29</v>
      </c>
      <c r="D40" t="s">
        <v>30</v>
      </c>
      <c r="E40" t="s">
        <v>31</v>
      </c>
      <c r="F40" t="s">
        <v>144</v>
      </c>
      <c r="G40" t="s">
        <v>145</v>
      </c>
      <c r="H40" t="s">
        <v>45</v>
      </c>
      <c r="I40" t="s">
        <v>223</v>
      </c>
      <c r="J40" t="s">
        <v>224</v>
      </c>
      <c r="K40" t="s">
        <v>148</v>
      </c>
      <c r="L40" t="s">
        <v>149</v>
      </c>
      <c r="M40">
        <v>6.5</v>
      </c>
      <c r="N40">
        <v>4.5</v>
      </c>
      <c r="O40" t="s">
        <v>50</v>
      </c>
      <c r="P40" t="s">
        <v>98</v>
      </c>
      <c r="R40" t="s">
        <v>225</v>
      </c>
      <c r="S40">
        <v>1</v>
      </c>
      <c r="T40">
        <v>1</v>
      </c>
      <c r="U40">
        <f>IFERROR(VLOOKUP(R40,'부품 리드타임_가격표'!A:C,3,0)*IF(T40&gt;0,T40,1),0)</f>
        <v>820000</v>
      </c>
      <c r="V40">
        <f>(IFERROR(VLOOKUP(O40,'인력 단가표'!A:C,3,0),0)+IFERROR(VLOOKUP(P40,'인력 단가표'!A:C,3,0),0)+IFERROR(VLOOKUP(Q40,'인력 단가표'!A:C,3,0),0))*N40</f>
        <v>418500</v>
      </c>
      <c r="W40">
        <f>IFERROR(SUMIFS('라인별 시간당 손실단가'!C:C,'라인별 시간당 손실단가'!A:A,B40,'라인별 시간당 손실단가'!B:B,C40),0)*M40</f>
        <v>2925000</v>
      </c>
      <c r="X40">
        <f t="shared" si="0"/>
        <v>4163500</v>
      </c>
      <c r="Y40">
        <v>1420.8</v>
      </c>
      <c r="Z40">
        <v>4.5</v>
      </c>
      <c r="AA40" s="2">
        <f t="shared" si="1"/>
        <v>0.99684276994316989</v>
      </c>
      <c r="AB40" t="s">
        <v>41</v>
      </c>
      <c r="AC40" t="s">
        <v>53</v>
      </c>
    </row>
    <row r="41" spans="1:29" x14ac:dyDescent="0.3">
      <c r="A41" s="3">
        <v>45985</v>
      </c>
      <c r="B41" t="s">
        <v>108</v>
      </c>
      <c r="C41" t="s">
        <v>109</v>
      </c>
      <c r="D41" t="s">
        <v>30</v>
      </c>
      <c r="E41" t="s">
        <v>31</v>
      </c>
      <c r="F41" t="s">
        <v>226</v>
      </c>
      <c r="G41" t="s">
        <v>227</v>
      </c>
      <c r="H41" t="s">
        <v>45</v>
      </c>
      <c r="I41" t="s">
        <v>228</v>
      </c>
      <c r="J41" t="s">
        <v>229</v>
      </c>
      <c r="K41" t="s">
        <v>230</v>
      </c>
      <c r="L41" t="s">
        <v>231</v>
      </c>
      <c r="M41">
        <v>6</v>
      </c>
      <c r="N41">
        <v>4</v>
      </c>
      <c r="O41" t="s">
        <v>50</v>
      </c>
      <c r="P41" t="s">
        <v>51</v>
      </c>
      <c r="R41" t="s">
        <v>107</v>
      </c>
      <c r="S41">
        <v>2</v>
      </c>
      <c r="T41">
        <v>1</v>
      </c>
      <c r="U41">
        <f>IFERROR(VLOOKUP(R41,'부품 리드타임_가격표'!A:C,3,0)*IF(T41&gt;0,T41,1),0)</f>
        <v>980000</v>
      </c>
      <c r="V41">
        <f>(IFERROR(VLOOKUP(O41,'인력 단가표'!A:C,3,0),0)+IFERROR(VLOOKUP(P41,'인력 단가표'!A:C,3,0),0)+IFERROR(VLOOKUP(Q41,'인력 단가표'!A:C,3,0),0))*N41</f>
        <v>400000</v>
      </c>
      <c r="W41">
        <f>IFERROR(SUMIFS('라인별 시간당 손실단가'!C:C,'라인별 시간당 손실단가'!A:A,B41,'라인별 시간당 손실단가'!B:B,C41),0)*M41</f>
        <v>2460000</v>
      </c>
      <c r="X41">
        <f t="shared" si="0"/>
        <v>3840000</v>
      </c>
      <c r="Y41">
        <v>1680</v>
      </c>
      <c r="Z41">
        <v>4</v>
      </c>
      <c r="AA41" s="2">
        <f t="shared" si="1"/>
        <v>0.99762470308788598</v>
      </c>
      <c r="AB41" t="s">
        <v>41</v>
      </c>
      <c r="AC41" t="s">
        <v>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6.5" x14ac:dyDescent="0.3"/>
  <cols>
    <col min="3" max="3" width="17.5" bestFit="1" customWidth="1"/>
  </cols>
  <sheetData>
    <row r="1" spans="1:3" x14ac:dyDescent="0.3">
      <c r="A1" s="1" t="s">
        <v>1</v>
      </c>
      <c r="B1" s="1" t="s">
        <v>2</v>
      </c>
      <c r="C1" s="1" t="s">
        <v>232</v>
      </c>
    </row>
    <row r="2" spans="1:3" x14ac:dyDescent="0.3">
      <c r="A2" t="s">
        <v>28</v>
      </c>
      <c r="B2" t="s">
        <v>29</v>
      </c>
      <c r="C2">
        <v>450000</v>
      </c>
    </row>
    <row r="3" spans="1:3" x14ac:dyDescent="0.3">
      <c r="A3" t="s">
        <v>80</v>
      </c>
      <c r="B3" t="s">
        <v>81</v>
      </c>
      <c r="C3">
        <v>400000</v>
      </c>
    </row>
    <row r="4" spans="1:3" x14ac:dyDescent="0.3">
      <c r="A4" t="s">
        <v>54</v>
      </c>
      <c r="B4" t="s">
        <v>55</v>
      </c>
      <c r="C4">
        <v>430000</v>
      </c>
    </row>
    <row r="5" spans="1:3" x14ac:dyDescent="0.3">
      <c r="A5" t="s">
        <v>108</v>
      </c>
      <c r="B5" t="s">
        <v>109</v>
      </c>
      <c r="C5">
        <v>410000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6.5" x14ac:dyDescent="0.3"/>
  <cols>
    <col min="1" max="1" width="18.125" bestFit="1" customWidth="1"/>
    <col min="2" max="2" width="25" bestFit="1" customWidth="1"/>
    <col min="3" max="3" width="15.375" bestFit="1" customWidth="1"/>
    <col min="4" max="4" width="15.5" bestFit="1" customWidth="1"/>
    <col min="5" max="5" width="8.875" bestFit="1" customWidth="1"/>
  </cols>
  <sheetData>
    <row r="1" spans="1:5" x14ac:dyDescent="0.3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</row>
    <row r="2" spans="1:5" x14ac:dyDescent="0.3">
      <c r="A2" t="s">
        <v>52</v>
      </c>
      <c r="B2" t="s">
        <v>238</v>
      </c>
      <c r="C2">
        <v>620000</v>
      </c>
      <c r="D2">
        <v>5</v>
      </c>
      <c r="E2" t="s">
        <v>239</v>
      </c>
    </row>
    <row r="3" spans="1:5" x14ac:dyDescent="0.3">
      <c r="A3" t="s">
        <v>240</v>
      </c>
      <c r="B3" t="s">
        <v>241</v>
      </c>
      <c r="C3">
        <v>650000</v>
      </c>
      <c r="D3">
        <v>5</v>
      </c>
      <c r="E3" t="s">
        <v>239</v>
      </c>
    </row>
    <row r="4" spans="1:5" x14ac:dyDescent="0.3">
      <c r="A4" t="s">
        <v>107</v>
      </c>
      <c r="B4" t="s">
        <v>242</v>
      </c>
      <c r="C4">
        <v>980000</v>
      </c>
      <c r="D4">
        <v>7</v>
      </c>
      <c r="E4" t="s">
        <v>239</v>
      </c>
    </row>
    <row r="5" spans="1:5" x14ac:dyDescent="0.3">
      <c r="A5" t="s">
        <v>77</v>
      </c>
      <c r="B5" t="s">
        <v>243</v>
      </c>
      <c r="C5">
        <v>210000</v>
      </c>
      <c r="D5">
        <v>3</v>
      </c>
      <c r="E5" t="s">
        <v>239</v>
      </c>
    </row>
    <row r="6" spans="1:5" x14ac:dyDescent="0.3">
      <c r="A6" t="s">
        <v>168</v>
      </c>
      <c r="B6" t="s">
        <v>244</v>
      </c>
      <c r="C6">
        <v>45000</v>
      </c>
      <c r="D6">
        <v>2</v>
      </c>
      <c r="E6" t="s">
        <v>239</v>
      </c>
    </row>
    <row r="7" spans="1:5" x14ac:dyDescent="0.3">
      <c r="A7" t="s">
        <v>125</v>
      </c>
      <c r="B7" t="s">
        <v>245</v>
      </c>
      <c r="C7">
        <v>5000</v>
      </c>
      <c r="D7">
        <v>2</v>
      </c>
      <c r="E7" t="s">
        <v>246</v>
      </c>
    </row>
    <row r="8" spans="1:5" x14ac:dyDescent="0.3">
      <c r="A8" t="s">
        <v>40</v>
      </c>
      <c r="B8" t="s">
        <v>247</v>
      </c>
      <c r="C8">
        <v>25000</v>
      </c>
      <c r="D8">
        <v>1</v>
      </c>
      <c r="E8" t="s">
        <v>246</v>
      </c>
    </row>
    <row r="9" spans="1:5" x14ac:dyDescent="0.3">
      <c r="A9" t="s">
        <v>225</v>
      </c>
      <c r="B9" t="s">
        <v>248</v>
      </c>
      <c r="C9">
        <v>820000</v>
      </c>
      <c r="D9">
        <v>10</v>
      </c>
      <c r="E9" t="s">
        <v>246</v>
      </c>
    </row>
    <row r="10" spans="1:5" x14ac:dyDescent="0.3">
      <c r="A10" t="s">
        <v>89</v>
      </c>
      <c r="B10" t="s">
        <v>249</v>
      </c>
      <c r="C10">
        <v>950000</v>
      </c>
      <c r="D10">
        <v>7</v>
      </c>
      <c r="E10" t="s">
        <v>239</v>
      </c>
    </row>
    <row r="11" spans="1:5" x14ac:dyDescent="0.3">
      <c r="A11" t="s">
        <v>99</v>
      </c>
      <c r="B11" t="s">
        <v>250</v>
      </c>
      <c r="C11">
        <v>120000</v>
      </c>
      <c r="D11">
        <v>4</v>
      </c>
      <c r="E11" t="s">
        <v>239</v>
      </c>
    </row>
    <row r="12" spans="1:5" x14ac:dyDescent="0.3">
      <c r="A12" t="s">
        <v>251</v>
      </c>
      <c r="B12" t="s">
        <v>252</v>
      </c>
      <c r="C12">
        <v>140000</v>
      </c>
      <c r="D12">
        <v>4</v>
      </c>
      <c r="E12" t="s">
        <v>239</v>
      </c>
    </row>
    <row r="13" spans="1:5" x14ac:dyDescent="0.3">
      <c r="A13" t="s">
        <v>157</v>
      </c>
      <c r="B13" t="s">
        <v>253</v>
      </c>
      <c r="C13">
        <v>180000</v>
      </c>
      <c r="D13">
        <v>3</v>
      </c>
      <c r="E13" t="s">
        <v>239</v>
      </c>
    </row>
    <row r="14" spans="1:5" x14ac:dyDescent="0.3">
      <c r="A14" t="s">
        <v>254</v>
      </c>
      <c r="B14" t="s">
        <v>255</v>
      </c>
      <c r="C14">
        <v>230000</v>
      </c>
      <c r="D14">
        <v>4</v>
      </c>
      <c r="E14" t="s">
        <v>239</v>
      </c>
    </row>
    <row r="15" spans="1:5" x14ac:dyDescent="0.3">
      <c r="A15" t="s">
        <v>69</v>
      </c>
      <c r="B15" t="s">
        <v>256</v>
      </c>
      <c r="C15">
        <v>260000</v>
      </c>
      <c r="D15">
        <v>5</v>
      </c>
      <c r="E15" t="s">
        <v>239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6.5" x14ac:dyDescent="0.3"/>
  <cols>
    <col min="2" max="2" width="16.75" bestFit="1" customWidth="1"/>
    <col min="3" max="3" width="17" bestFit="1" customWidth="1"/>
  </cols>
  <sheetData>
    <row r="1" spans="1:3" x14ac:dyDescent="0.3">
      <c r="A1" s="1" t="s">
        <v>257</v>
      </c>
      <c r="B1" s="1" t="s">
        <v>258</v>
      </c>
      <c r="C1" s="1" t="s">
        <v>259</v>
      </c>
    </row>
    <row r="2" spans="1:3" x14ac:dyDescent="0.3">
      <c r="A2" t="s">
        <v>50</v>
      </c>
      <c r="B2" t="s">
        <v>260</v>
      </c>
      <c r="C2">
        <v>48000</v>
      </c>
    </row>
    <row r="3" spans="1:3" x14ac:dyDescent="0.3">
      <c r="A3" t="s">
        <v>51</v>
      </c>
      <c r="B3" t="s">
        <v>261</v>
      </c>
      <c r="C3">
        <v>52000</v>
      </c>
    </row>
    <row r="4" spans="1:3" x14ac:dyDescent="0.3">
      <c r="A4" t="s">
        <v>98</v>
      </c>
      <c r="B4" t="s">
        <v>262</v>
      </c>
      <c r="C4">
        <v>45000</v>
      </c>
    </row>
    <row r="5" spans="1:3" x14ac:dyDescent="0.3">
      <c r="A5" t="s">
        <v>39</v>
      </c>
      <c r="B5" t="s">
        <v>263</v>
      </c>
      <c r="C5">
        <v>42000</v>
      </c>
    </row>
    <row r="6" spans="1:3" x14ac:dyDescent="0.3">
      <c r="A6" t="s">
        <v>134</v>
      </c>
      <c r="B6" t="s">
        <v>264</v>
      </c>
      <c r="C6">
        <v>55000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E20" sqref="E20"/>
    </sheetView>
  </sheetViews>
  <sheetFormatPr defaultRowHeight="16.5" x14ac:dyDescent="0.3"/>
  <cols>
    <col min="1" max="1" width="11.25" bestFit="1" customWidth="1"/>
    <col min="2" max="2" width="7.875" bestFit="1" customWidth="1"/>
    <col min="3" max="3" width="56.625" bestFit="1" customWidth="1"/>
    <col min="4" max="4" width="36.125" bestFit="1" customWidth="1"/>
    <col min="5" max="5" width="33.75" bestFit="1" customWidth="1"/>
  </cols>
  <sheetData>
    <row r="1" spans="1:5" x14ac:dyDescent="0.3">
      <c r="A1" s="1" t="s">
        <v>4</v>
      </c>
      <c r="B1" s="1" t="s">
        <v>265</v>
      </c>
      <c r="C1" s="1" t="s">
        <v>266</v>
      </c>
      <c r="D1" s="1" t="s">
        <v>267</v>
      </c>
      <c r="E1" s="1" t="s">
        <v>268</v>
      </c>
    </row>
    <row r="2" spans="1:5" x14ac:dyDescent="0.3">
      <c r="A2" t="s">
        <v>31</v>
      </c>
      <c r="B2" t="s">
        <v>269</v>
      </c>
      <c r="C2" t="s">
        <v>270</v>
      </c>
      <c r="D2" t="s">
        <v>271</v>
      </c>
      <c r="E2" t="s">
        <v>272</v>
      </c>
    </row>
    <row r="3" spans="1:5" x14ac:dyDescent="0.3">
      <c r="A3" t="s">
        <v>31</v>
      </c>
      <c r="B3" t="s">
        <v>45</v>
      </c>
      <c r="C3" t="s">
        <v>273</v>
      </c>
      <c r="D3" t="s">
        <v>274</v>
      </c>
      <c r="E3" t="s">
        <v>275</v>
      </c>
    </row>
    <row r="4" spans="1:5" x14ac:dyDescent="0.3">
      <c r="A4" t="s">
        <v>31</v>
      </c>
      <c r="B4" t="s">
        <v>34</v>
      </c>
      <c r="C4" t="s">
        <v>276</v>
      </c>
      <c r="D4" t="s">
        <v>277</v>
      </c>
      <c r="E4" t="s">
        <v>275</v>
      </c>
    </row>
    <row r="5" spans="1:5" x14ac:dyDescent="0.3">
      <c r="A5" t="s">
        <v>31</v>
      </c>
      <c r="B5" t="s">
        <v>278</v>
      </c>
      <c r="C5" t="s">
        <v>279</v>
      </c>
      <c r="D5" t="s">
        <v>280</v>
      </c>
      <c r="E5" t="s">
        <v>275</v>
      </c>
    </row>
    <row r="6" spans="1:5" x14ac:dyDescent="0.3">
      <c r="A6" t="s">
        <v>281</v>
      </c>
      <c r="B6" t="s">
        <v>282</v>
      </c>
      <c r="C6" t="s">
        <v>283</v>
      </c>
      <c r="D6" t="s">
        <v>284</v>
      </c>
      <c r="E6" t="s">
        <v>272</v>
      </c>
    </row>
    <row r="7" spans="1:5" x14ac:dyDescent="0.3">
      <c r="A7" t="s">
        <v>281</v>
      </c>
      <c r="B7" t="s">
        <v>93</v>
      </c>
      <c r="C7" t="s">
        <v>285</v>
      </c>
      <c r="D7" t="s">
        <v>286</v>
      </c>
      <c r="E7" t="s">
        <v>275</v>
      </c>
    </row>
    <row r="8" spans="1:5" x14ac:dyDescent="0.3">
      <c r="A8" t="s">
        <v>287</v>
      </c>
      <c r="B8" t="s">
        <v>269</v>
      </c>
      <c r="C8" t="s">
        <v>270</v>
      </c>
      <c r="D8" t="s">
        <v>271</v>
      </c>
      <c r="E8" t="s">
        <v>272</v>
      </c>
    </row>
    <row r="9" spans="1:5" x14ac:dyDescent="0.3">
      <c r="A9" t="s">
        <v>287</v>
      </c>
      <c r="B9" t="s">
        <v>45</v>
      </c>
      <c r="C9" t="s">
        <v>288</v>
      </c>
      <c r="D9" t="s">
        <v>289</v>
      </c>
      <c r="E9" t="s">
        <v>275</v>
      </c>
    </row>
    <row r="10" spans="1:5" x14ac:dyDescent="0.3">
      <c r="A10" t="s">
        <v>290</v>
      </c>
      <c r="B10" t="s">
        <v>64</v>
      </c>
      <c r="C10" t="s">
        <v>291</v>
      </c>
      <c r="D10" t="s">
        <v>292</v>
      </c>
      <c r="E10" t="s">
        <v>275</v>
      </c>
    </row>
    <row r="11" spans="1:5" x14ac:dyDescent="0.3">
      <c r="A11" t="s">
        <v>290</v>
      </c>
      <c r="B11" t="s">
        <v>293</v>
      </c>
      <c r="C11" t="s">
        <v>294</v>
      </c>
      <c r="D11" t="s">
        <v>295</v>
      </c>
      <c r="E11" t="s">
        <v>275</v>
      </c>
    </row>
    <row r="12" spans="1:5" x14ac:dyDescent="0.3">
      <c r="A12" t="s">
        <v>290</v>
      </c>
      <c r="B12" t="s">
        <v>93</v>
      </c>
      <c r="C12" t="s">
        <v>296</v>
      </c>
      <c r="D12" t="s">
        <v>297</v>
      </c>
      <c r="E12" t="s">
        <v>275</v>
      </c>
    </row>
    <row r="13" spans="1:5" x14ac:dyDescent="0.3">
      <c r="A13" t="s">
        <v>290</v>
      </c>
      <c r="B13" t="s">
        <v>34</v>
      </c>
      <c r="C13" t="s">
        <v>298</v>
      </c>
      <c r="D13" t="s">
        <v>299</v>
      </c>
      <c r="E13" t="s">
        <v>275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defaultRowHeight="16.5" x14ac:dyDescent="0.3"/>
  <sheetData>
    <row r="1" spans="1:1" x14ac:dyDescent="0.3">
      <c r="A1" s="1" t="s">
        <v>300</v>
      </c>
    </row>
    <row r="2" spans="1:1" x14ac:dyDescent="0.3">
      <c r="A2" t="s">
        <v>301</v>
      </c>
    </row>
    <row r="3" spans="1:1" x14ac:dyDescent="0.3">
      <c r="A3" t="s">
        <v>302</v>
      </c>
    </row>
    <row r="4" spans="1:1" x14ac:dyDescent="0.3">
      <c r="A4" t="s">
        <v>303</v>
      </c>
    </row>
    <row r="5" spans="1:1" x14ac:dyDescent="0.3">
      <c r="A5" t="s">
        <v>304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Records</vt:lpstr>
      <vt:lpstr>라인별 시간당 손실단가</vt:lpstr>
      <vt:lpstr>부품 리드타임_가격표</vt:lpstr>
      <vt:lpstr>인력 단가표</vt:lpstr>
      <vt:lpstr>ISO14224_Codes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김원(Kim Won)/Digital Factory서비스1팀/SK</cp:lastModifiedBy>
  <dcterms:created xsi:type="dcterms:W3CDTF">2025-11-27T02:30:36Z</dcterms:created>
  <dcterms:modified xsi:type="dcterms:W3CDTF">2025-11-28T01:57:53Z</dcterms:modified>
</cp:coreProperties>
</file>